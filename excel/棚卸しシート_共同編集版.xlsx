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" sheetId="1" state="visible" r:id="rId1"/>
    <sheet name="原料豆" sheetId="2" state="visible" r:id="rId2"/>
    <sheet name="副原料" sheetId="3" state="visible" r:id="rId3"/>
    <sheet name="フィルタ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&quot;年&quot;m&quot;月&quot;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2B5CB8"/>
    </font>
    <font>
      <color rgb="00777777"/>
      <sz val="9"/>
    </font>
    <font>
      <b val="1"/>
      <sz val="10"/>
    </font>
    <font>
      <b val="1"/>
      <color rgb="002B5CB8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2">
    <border>
      <left/>
      <right/>
      <top/>
      <bottom/>
      <diagonal/>
    </border>
    <border>
      <left style="thin">
        <color rgb="00C8CFD8"/>
      </left>
      <right style="thin">
        <color rgb="00C8CFD8"/>
      </right>
      <top style="thin">
        <color rgb="00C8CFD8"/>
      </top>
      <bottom style="thin">
        <color rgb="00C8CF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2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BE0E0"/>
        </patternFill>
      </fill>
    </dxf>
    <dxf>
      <fill>
        <patternFill patternType="solid">
          <fgColor rgb="00FFE9D2"/>
        </patternFill>
      </fill>
    </dxf>
    <dxf>
      <fill>
        <patternFill patternType="solid">
          <fgColor rgb="00FFF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棚卸しサマリ</t>
        </is>
      </c>
    </row>
    <row r="2">
      <c r="A2" s="2" t="inlineStr">
        <is>
          <t>棚卸し月（月初の日付を入力）</t>
        </is>
      </c>
      <c r="B2" s="3" t="n">
        <v>46204</v>
      </c>
      <c r="C2" s="4" t="inlineStr">
        <is>
          <t>← 例: 6月末の棚卸しなら 2026/6/1 と入力（期限判定の基準になります）</t>
        </is>
      </c>
    </row>
    <row r="4">
      <c r="A4" s="5" t="inlineStr">
        <is>
          <t>シート</t>
        </is>
      </c>
      <c r="B4" s="5" t="inlineStr">
        <is>
          <t>対象品目</t>
        </is>
      </c>
      <c r="C4" s="5" t="inlineStr">
        <is>
          <t>入力済み</t>
        </is>
      </c>
      <c r="D4" s="5" t="inlineStr">
        <is>
          <t>未入力</t>
        </is>
      </c>
      <c r="E4" s="5" t="inlineStr">
        <is>
          <t>1回目完了</t>
        </is>
      </c>
      <c r="F4" s="5" t="inlineStr">
        <is>
          <t>ダブル完了</t>
        </is>
      </c>
    </row>
    <row r="5">
      <c r="A5" s="6" t="inlineStr">
        <is>
          <t>原料豆</t>
        </is>
      </c>
      <c r="B5" s="6" t="n">
        <v>38</v>
      </c>
      <c r="C5" s="6">
        <f>COUNT(原料豆!$C$4:$C$41)</f>
        <v/>
      </c>
      <c r="D5" s="6">
        <f>B5-C5</f>
        <v/>
      </c>
      <c r="E5" s="6">
        <f>COUNTIF(原料豆!$J$4:$J$41,"1回目完了")</f>
        <v/>
      </c>
      <c r="F5" s="6">
        <f>COUNTIF(原料豆!$J$4:$J$41,"ダブルチェック完了")</f>
        <v/>
      </c>
    </row>
    <row r="6">
      <c r="A6" s="6" t="inlineStr">
        <is>
          <t>副原料</t>
        </is>
      </c>
      <c r="B6" s="6" t="n">
        <v>87</v>
      </c>
      <c r="C6" s="6">
        <f>COUNT(副原料!$C$4:$C$90)</f>
        <v/>
      </c>
      <c r="D6" s="6">
        <f>B6-C6</f>
        <v/>
      </c>
      <c r="E6" s="6">
        <f>COUNTIF(副原料!$J$4:$J$90,"1回目完了")</f>
        <v/>
      </c>
      <c r="F6" s="6">
        <f>COUNTIF(副原料!$J$4:$J$90,"ダブルチェック完了")</f>
        <v/>
      </c>
    </row>
    <row r="7">
      <c r="A7" s="6" t="inlineStr">
        <is>
          <t>フィルター</t>
        </is>
      </c>
      <c r="B7" s="6" t="n">
        <v>14</v>
      </c>
      <c r="C7" s="6">
        <f>COUNT(フィルター!$D$4:$D$17)+COUNT(フィルター!$E$4:$E$17)-COUNTIFS(フィルター!$D$4:$D$17,"&gt;=0",フィルター!$E$4:$E$17,"&gt;=0")</f>
        <v/>
      </c>
      <c r="D7" s="6">
        <f>B7-C7</f>
        <v/>
      </c>
      <c r="E7" s="6">
        <f>COUNTIF(フィルター!$F$4:$F$17,"1回目完了")</f>
        <v/>
      </c>
      <c r="F7" s="6">
        <f>COUNTIF(フィルター!$F$4:$F$17,"ダブルチェック完了")</f>
        <v/>
      </c>
    </row>
    <row r="8">
      <c r="A8" s="7" t="inlineStr">
        <is>
          <t>合計</t>
        </is>
      </c>
      <c r="B8" s="7">
        <f>SUM(B5:B7)</f>
        <v/>
      </c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</row>
    <row r="10">
      <c r="A10" s="2" t="inlineStr">
        <is>
          <t>■ 使い方</t>
        </is>
      </c>
    </row>
    <row r="11">
      <c r="A11" s="8" t="inlineStr">
        <is>
          <t>1. 各シートを開き、上から順に「数量」を記入する（在庫が無ければ 0）</t>
        </is>
      </c>
    </row>
    <row r="12">
      <c r="A12" s="8" t="inlineStr">
        <is>
          <t>2. 期限切れ分は数量に含めず「期限切れ量」「期限切れ日」に記入</t>
        </is>
      </c>
    </row>
    <row r="13">
      <c r="A13" s="8" t="inlineStr">
        <is>
          <t>3. 期限日を入れると「期限区分」が自動で入る（来月/再来月のときは「期限量」も記入）</t>
        </is>
      </c>
    </row>
    <row r="14">
      <c r="A14" s="8" t="inlineStr">
        <is>
          <t>4. 確認が済んだら「チェック」を選ぶ（誰が編集したかはSharePointの版履歴で確認できる）</t>
        </is>
      </c>
    </row>
    <row r="15">
      <c r="A15" s="8" t="inlineStr">
        <is>
          <t>5. 未入力の数量セルは黄色で表示される。全員の入力状況はこのサマリで確認</t>
        </is>
      </c>
    </row>
    <row r="16">
      <c r="A16" s="8" t="inlineStr">
        <is>
          <t>※ 行の追加・削除・並び替えはしないでください（数式とカウントが狂います）</t>
        </is>
      </c>
    </row>
    <row r="17">
      <c r="A17" s="8" t="inlineStr">
        <is>
          <t>※ 複数人で同時に開いて編集してOK（自動保存・自動同期）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6" customWidth="1" min="4" max="4"/>
    <col width="12" customWidth="1" min="5" max="5"/>
    <col width="12" customWidth="1" min="6" max="6"/>
    <col width="9" customWidth="1" min="7" max="7"/>
    <col width="10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実地棚卸表（原料豆）</t>
        </is>
      </c>
      <c r="D1" s="9">
        <f>"棚卸し月: "&amp;TEXT(サマリ!$B$2,"yyyy年m月")</f>
        <v/>
      </c>
    </row>
    <row r="2">
      <c r="A2" s="4" t="inlineStr">
        <is>
          <t>①数量には期限切れ分を含めない ②期限日を入れると期限区分は自動判定（手動で上書き可） ③行の追加・削除・並び替えはしない</t>
        </is>
      </c>
    </row>
    <row r="3">
      <c r="A3" s="5" t="inlineStr">
        <is>
          <t>原料コード</t>
        </is>
      </c>
      <c r="B3" s="5" t="inlineStr">
        <is>
          <t>品名</t>
        </is>
      </c>
      <c r="C3" s="5" t="inlineStr">
        <is>
          <t>数量</t>
        </is>
      </c>
      <c r="D3" s="5" t="inlineStr">
        <is>
          <t>単位</t>
        </is>
      </c>
      <c r="E3" s="5" t="inlineStr">
        <is>
          <t>期限日</t>
        </is>
      </c>
      <c r="F3" s="5" t="inlineStr">
        <is>
          <t>期限区分(自動)</t>
        </is>
      </c>
      <c r="G3" s="5" t="inlineStr">
        <is>
          <t>期限量</t>
        </is>
      </c>
      <c r="H3" s="5" t="inlineStr">
        <is>
          <t>期限切れ量</t>
        </is>
      </c>
      <c r="I3" s="5" t="inlineStr">
        <is>
          <t>期限切れ日</t>
        </is>
      </c>
      <c r="J3" s="5" t="inlineStr">
        <is>
          <t>チェック</t>
        </is>
      </c>
      <c r="K3" s="5" t="inlineStr">
        <is>
          <t>備考</t>
        </is>
      </c>
    </row>
    <row r="4">
      <c r="A4" s="6" t="inlineStr">
        <is>
          <t>300076000</t>
        </is>
      </c>
      <c r="B4" s="6" t="inlineStr">
        <is>
          <t>工業用 ７PTDB-B(豆)</t>
        </is>
      </c>
      <c r="C4" s="6" t="n"/>
      <c r="D4" s="6" t="inlineStr">
        <is>
          <t>kg</t>
        </is>
      </c>
      <c r="E4" s="10" t="n"/>
      <c r="F4" s="6">
        <f>IF($E4="","",IF(EDATE(サマリ!$B$2,1)&gt;$E4,"期限切れ",IF(EDATE(サマリ!$B$2,2)&gt;$E4,"来月期限",IF(EDATE(サマリ!$B$2,3)&gt;$E4,"再来月期限",""))))</f>
        <v/>
      </c>
      <c r="G4" s="6" t="n"/>
      <c r="H4" s="6" t="n"/>
      <c r="I4" s="10" t="n"/>
      <c r="J4" s="6" t="n"/>
      <c r="K4" s="6" t="n"/>
    </row>
    <row r="5">
      <c r="A5" s="6" t="inlineStr">
        <is>
          <t>300077000</t>
        </is>
      </c>
      <c r="B5" s="6" t="inlineStr">
        <is>
          <t>工業用 ７PTDB-P(粉)</t>
        </is>
      </c>
      <c r="C5" s="6" t="n"/>
      <c r="D5" s="6" t="inlineStr">
        <is>
          <t>kg</t>
        </is>
      </c>
      <c r="E5" s="10" t="n"/>
      <c r="F5" s="6">
        <f>IF($E5="","",IF(EDATE(サマリ!$B$2,1)&gt;$E5,"期限切れ",IF(EDATE(サマリ!$B$2,2)&gt;$E5,"来月期限",IF(EDATE(サマリ!$B$2,3)&gt;$E5,"再来月期限",""))))</f>
        <v/>
      </c>
      <c r="G5" s="6" t="n"/>
      <c r="H5" s="6" t="n"/>
      <c r="I5" s="10" t="n"/>
      <c r="J5" s="6" t="n"/>
      <c r="K5" s="6" t="n"/>
    </row>
    <row r="6">
      <c r="A6" s="6" t="inlineStr">
        <is>
          <t>300078000</t>
        </is>
      </c>
      <c r="B6" s="6" t="inlineStr">
        <is>
          <t>工業用 ７PTDﾗﾃ用(豆)</t>
        </is>
      </c>
      <c r="C6" s="6" t="n"/>
      <c r="D6" s="6" t="inlineStr">
        <is>
          <t>kg</t>
        </is>
      </c>
      <c r="E6" s="10" t="n"/>
      <c r="F6" s="6">
        <f>IF($E6="","",IF(EDATE(サマリ!$B$2,1)&gt;$E6,"期限切れ",IF(EDATE(サマリ!$B$2,2)&gt;$E6,"来月期限",IF(EDATE(サマリ!$B$2,3)&gt;$E6,"再来月期限",""))))</f>
        <v/>
      </c>
      <c r="G6" s="6" t="n"/>
      <c r="H6" s="6" t="n"/>
      <c r="I6" s="10" t="n"/>
      <c r="J6" s="6" t="n"/>
      <c r="K6" s="6" t="n"/>
    </row>
    <row r="7">
      <c r="A7" s="6" t="inlineStr">
        <is>
          <t>310941000</t>
        </is>
      </c>
      <c r="B7" s="6" t="inlineStr">
        <is>
          <t>工業用 ORBオリジナルブレンド(豆)</t>
        </is>
      </c>
      <c r="C7" s="6" t="n"/>
      <c r="D7" s="6" t="inlineStr">
        <is>
          <t>kg</t>
        </is>
      </c>
      <c r="E7" s="10" t="n"/>
      <c r="F7" s="6">
        <f>IF($E7="","",IF(EDATE(サマリ!$B$2,1)&gt;$E7,"期限切れ",IF(EDATE(サマリ!$B$2,2)&gt;$E7,"来月期限",IF(EDATE(サマリ!$B$2,3)&gt;$E7,"再来月期限",""))))</f>
        <v/>
      </c>
      <c r="G7" s="6" t="n"/>
      <c r="H7" s="6" t="n"/>
      <c r="I7" s="10" t="n"/>
      <c r="J7" s="6" t="n"/>
      <c r="K7" s="6" t="n"/>
    </row>
    <row r="8">
      <c r="A8" s="6" t="inlineStr">
        <is>
          <t>311222000</t>
        </is>
      </c>
      <c r="B8" s="6" t="inlineStr">
        <is>
          <t>工業用 LC ﾗﾃﾌﾞﾚﾝﾄﾞ（豆）</t>
        </is>
      </c>
      <c r="C8" s="6" t="n"/>
      <c r="D8" s="6" t="inlineStr">
        <is>
          <t>kg</t>
        </is>
      </c>
      <c r="E8" s="10" t="n"/>
      <c r="F8" s="6">
        <f>IF($E8="","",IF(EDATE(サマリ!$B$2,1)&gt;$E8,"期限切れ",IF(EDATE(サマリ!$B$2,2)&gt;$E8,"来月期限",IF(EDATE(サマリ!$B$2,3)&gt;$E8,"再来月期限",""))))</f>
        <v/>
      </c>
      <c r="G8" s="6" t="n"/>
      <c r="H8" s="6" t="n"/>
      <c r="I8" s="10" t="n"/>
      <c r="J8" s="6" t="n"/>
      <c r="K8" s="6" t="n"/>
    </row>
    <row r="9">
      <c r="A9" s="6" t="inlineStr">
        <is>
          <t>314853000</t>
        </is>
      </c>
      <c r="B9" s="6" t="inlineStr">
        <is>
          <t>工業用 Cafeﾌﾞﾚﾝﾄﾞ3 (豆)</t>
        </is>
      </c>
      <c r="C9" s="6" t="n"/>
      <c r="D9" s="6" t="inlineStr">
        <is>
          <t>kg</t>
        </is>
      </c>
      <c r="E9" s="10" t="n"/>
      <c r="F9" s="6">
        <f>IF($E9="","",IF(EDATE(サマリ!$B$2,1)&gt;$E9,"期限切れ",IF(EDATE(サマリ!$B$2,2)&gt;$E9,"来月期限",IF(EDATE(サマリ!$B$2,3)&gt;$E9,"再来月期限",""))))</f>
        <v/>
      </c>
      <c r="G9" s="6" t="n"/>
      <c r="H9" s="6" t="n"/>
      <c r="I9" s="10" t="n"/>
      <c r="J9" s="6" t="n"/>
      <c r="K9" s="6" t="n"/>
    </row>
    <row r="10">
      <c r="A10" s="6" t="inlineStr">
        <is>
          <t>315032000</t>
        </is>
      </c>
      <c r="B10" s="6" t="inlineStr">
        <is>
          <t>工業用 PBﾌﾞﾚﾝﾄﾞF (豆)</t>
        </is>
      </c>
      <c r="C10" s="6" t="n"/>
      <c r="D10" s="6" t="inlineStr">
        <is>
          <t>kg</t>
        </is>
      </c>
      <c r="E10" s="10" t="n"/>
      <c r="F10" s="6">
        <f>IF($E10="","",IF(EDATE(サマリ!$B$2,1)&gt;$E10,"期限切れ",IF(EDATE(サマリ!$B$2,2)&gt;$E10,"来月期限",IF(EDATE(サマリ!$B$2,3)&gt;$E10,"再来月期限",""))))</f>
        <v/>
      </c>
      <c r="G10" s="6" t="n"/>
      <c r="H10" s="6" t="n"/>
      <c r="I10" s="10" t="n"/>
      <c r="J10" s="6" t="n"/>
      <c r="K10" s="6" t="n"/>
    </row>
    <row r="11">
      <c r="A11" s="6" t="inlineStr">
        <is>
          <t>315190000</t>
        </is>
      </c>
      <c r="B11" s="6" t="inlineStr">
        <is>
          <t>工業用 TC-B(豆)</t>
        </is>
      </c>
      <c r="C11" s="6" t="n"/>
      <c r="D11" s="6" t="inlineStr">
        <is>
          <t>kg</t>
        </is>
      </c>
      <c r="E11" s="10" t="n"/>
      <c r="F11" s="6">
        <f>IF($E11="","",IF(EDATE(サマリ!$B$2,1)&gt;$E11,"期限切れ",IF(EDATE(サマリ!$B$2,2)&gt;$E11,"来月期限",IF(EDATE(サマリ!$B$2,3)&gt;$E11,"再来月期限",""))))</f>
        <v/>
      </c>
      <c r="G11" s="6" t="n"/>
      <c r="H11" s="6" t="n"/>
      <c r="I11" s="10" t="n"/>
      <c r="J11" s="6" t="n"/>
      <c r="K11" s="6" t="n"/>
    </row>
    <row r="12">
      <c r="A12" s="6" t="inlineStr">
        <is>
          <t>315190000</t>
        </is>
      </c>
      <c r="B12" s="6" t="inlineStr">
        <is>
          <t>工業用 TC-B2 (豆)</t>
        </is>
      </c>
      <c r="C12" s="6" t="n"/>
      <c r="D12" s="6" t="inlineStr">
        <is>
          <t>kg</t>
        </is>
      </c>
      <c r="E12" s="10" t="n"/>
      <c r="F12" s="6">
        <f>IF($E12="","",IF(EDATE(サマリ!$B$2,1)&gt;$E12,"期限切れ",IF(EDATE(サマリ!$B$2,2)&gt;$E12,"来月期限",IF(EDATE(サマリ!$B$2,3)&gt;$E12,"再来月期限",""))))</f>
        <v/>
      </c>
      <c r="G12" s="6" t="n"/>
      <c r="H12" s="6" t="n"/>
      <c r="I12" s="10" t="n"/>
      <c r="J12" s="6" t="n"/>
      <c r="K12" s="6" t="n"/>
    </row>
    <row r="13">
      <c r="A13" s="6" t="inlineStr">
        <is>
          <t>315191000</t>
        </is>
      </c>
      <c r="B13" s="6" t="inlineStr">
        <is>
          <t>工業用 TC-C2 (豆)</t>
        </is>
      </c>
      <c r="C13" s="6" t="n"/>
      <c r="D13" s="6" t="inlineStr">
        <is>
          <t>kg</t>
        </is>
      </c>
      <c r="E13" s="10" t="n"/>
      <c r="F13" s="6">
        <f>IF($E13="","",IF(EDATE(サマリ!$B$2,1)&gt;$E13,"期限切れ",IF(EDATE(サマリ!$B$2,2)&gt;$E13,"来月期限",IF(EDATE(サマリ!$B$2,3)&gt;$E13,"再来月期限",""))))</f>
        <v/>
      </c>
      <c r="G13" s="6" t="n"/>
      <c r="H13" s="6" t="n"/>
      <c r="I13" s="10" t="n"/>
      <c r="J13" s="6" t="n"/>
      <c r="K13" s="6" t="n"/>
    </row>
    <row r="14">
      <c r="A14" s="6" t="inlineStr">
        <is>
          <t>315269000</t>
        </is>
      </c>
      <c r="B14" s="6" t="inlineStr">
        <is>
          <t>工業用 Healthyﾌﾞﾚﾝﾄﾞ(豆)</t>
        </is>
      </c>
      <c r="C14" s="6" t="n"/>
      <c r="D14" s="6" t="inlineStr">
        <is>
          <t>kg</t>
        </is>
      </c>
      <c r="E14" s="10" t="n"/>
      <c r="F14" s="6">
        <f>IF($E14="","",IF(EDATE(サマリ!$B$2,1)&gt;$E14,"期限切れ",IF(EDATE(サマリ!$B$2,2)&gt;$E14,"来月期限",IF(EDATE(サマリ!$B$2,3)&gt;$E14,"再来月期限",""))))</f>
        <v/>
      </c>
      <c r="G14" s="6" t="n"/>
      <c r="H14" s="6" t="n"/>
      <c r="I14" s="10" t="n"/>
      <c r="J14" s="6" t="n"/>
      <c r="K14" s="6" t="n"/>
    </row>
    <row r="15">
      <c r="A15" s="6" t="inlineStr">
        <is>
          <t>320541000</t>
        </is>
      </c>
      <c r="B15" s="6" t="inlineStr">
        <is>
          <t>工業用 FM ｶｳﾝﾀｰｺｰﾋｰﾀﾞｰｸ用(豆)</t>
        </is>
      </c>
      <c r="C15" s="6" t="n"/>
      <c r="D15" s="6" t="inlineStr">
        <is>
          <t>kg</t>
        </is>
      </c>
      <c r="E15" s="10" t="n"/>
      <c r="F15" s="6">
        <f>IF($E15="","",IF(EDATE(サマリ!$B$2,1)&gt;$E15,"期限切れ",IF(EDATE(サマリ!$B$2,2)&gt;$E15,"来月期限",IF(EDATE(サマリ!$B$2,3)&gt;$E15,"再来月期限",""))))</f>
        <v/>
      </c>
      <c r="G15" s="6" t="n"/>
      <c r="H15" s="6" t="n"/>
      <c r="I15" s="10" t="n"/>
      <c r="J15" s="6" t="n"/>
      <c r="K15" s="6" t="n"/>
    </row>
    <row r="16">
      <c r="A16" s="6" t="inlineStr">
        <is>
          <t>320592000</t>
        </is>
      </c>
      <c r="B16" s="6" t="inlineStr">
        <is>
          <t>工業用 ｶﾌｪｲﾝﾚｽMW100(豆）</t>
        </is>
      </c>
      <c r="C16" s="6" t="n"/>
      <c r="D16" s="6" t="inlineStr">
        <is>
          <t>kg</t>
        </is>
      </c>
      <c r="E16" s="10" t="n"/>
      <c r="F16" s="6">
        <f>IF($E16="","",IF(EDATE(サマリ!$B$2,1)&gt;$E16,"期限切れ",IF(EDATE(サマリ!$B$2,2)&gt;$E16,"来月期限",IF(EDATE(サマリ!$B$2,3)&gt;$E16,"再来月期限",""))))</f>
        <v/>
      </c>
      <c r="G16" s="6" t="n"/>
      <c r="H16" s="6" t="n"/>
      <c r="I16" s="10" t="n"/>
      <c r="J16" s="6" t="n"/>
      <c r="K16" s="6" t="n"/>
    </row>
    <row r="17">
      <c r="A17" s="6" t="inlineStr">
        <is>
          <t>320594000</t>
        </is>
      </c>
      <c r="B17" s="6" t="inlineStr">
        <is>
          <t>ｳｴｼﾏﾌﾞﾚﾝﾄﾞ SUS（豆）</t>
        </is>
      </c>
      <c r="C17" s="6" t="n"/>
      <c r="D17" s="6" t="inlineStr">
        <is>
          <t>kg</t>
        </is>
      </c>
      <c r="E17" s="10" t="n"/>
      <c r="F17" s="6">
        <f>IF($E17="","",IF(EDATE(サマリ!$B$2,1)&gt;$E17,"期限切れ",IF(EDATE(サマリ!$B$2,2)&gt;$E17,"来月期限",IF(EDATE(サマリ!$B$2,3)&gt;$E17,"再来月期限",""))))</f>
        <v/>
      </c>
      <c r="G17" s="6" t="n"/>
      <c r="H17" s="6" t="n"/>
      <c r="I17" s="10" t="n"/>
      <c r="J17" s="6" t="n"/>
      <c r="K17" s="6" t="n"/>
    </row>
    <row r="18">
      <c r="A18" s="6" t="inlineStr">
        <is>
          <t>320598000</t>
        </is>
      </c>
      <c r="B18" s="6" t="inlineStr">
        <is>
          <t>工業用 ｱﾛﾏﾌﾞﾚﾝﾄﾞ４(豆)</t>
        </is>
      </c>
      <c r="C18" s="6" t="n"/>
      <c r="D18" s="6" t="inlineStr">
        <is>
          <t>kg</t>
        </is>
      </c>
      <c r="E18" s="10" t="n"/>
      <c r="F18" s="6">
        <f>IF($E18="","",IF(EDATE(サマリ!$B$2,1)&gt;$E18,"期限切れ",IF(EDATE(サマリ!$B$2,2)&gt;$E18,"来月期限",IF(EDATE(サマリ!$B$2,3)&gt;$E18,"再来月期限",""))))</f>
        <v/>
      </c>
      <c r="G18" s="6" t="n"/>
      <c r="H18" s="6" t="n"/>
      <c r="I18" s="10" t="n"/>
      <c r="J18" s="6" t="n"/>
      <c r="K18" s="6" t="n"/>
    </row>
    <row r="19">
      <c r="A19" s="6" t="inlineStr">
        <is>
          <t>320603000</t>
        </is>
      </c>
      <c r="B19" s="6" t="inlineStr">
        <is>
          <t>工業用 D&amp;Rブレンド（豆）</t>
        </is>
      </c>
      <c r="C19" s="6" t="n"/>
      <c r="D19" s="6" t="inlineStr">
        <is>
          <t>kg</t>
        </is>
      </c>
      <c r="E19" s="10" t="n"/>
      <c r="F19" s="6">
        <f>IF($E19="","",IF(EDATE(サマリ!$B$2,1)&gt;$E19,"期限切れ",IF(EDATE(サマリ!$B$2,2)&gt;$E19,"来月期限",IF(EDATE(サマリ!$B$2,3)&gt;$E19,"再来月期限",""))))</f>
        <v/>
      </c>
      <c r="G19" s="6" t="n"/>
      <c r="H19" s="6" t="n"/>
      <c r="I19" s="10" t="n"/>
      <c r="J19" s="6" t="n"/>
      <c r="K19" s="6" t="n"/>
    </row>
    <row r="20">
      <c r="A20" s="6" t="inlineStr">
        <is>
          <t>322509000</t>
        </is>
      </c>
      <c r="B20" s="6" t="inlineStr">
        <is>
          <t>工業用 ﾓｶﾅﾁｭﾗﾙH (粉）</t>
        </is>
      </c>
      <c r="C20" s="6" t="n"/>
      <c r="D20" s="6" t="inlineStr">
        <is>
          <t>kg</t>
        </is>
      </c>
      <c r="E20" s="10" t="n"/>
      <c r="F20" s="6">
        <f>IF($E20="","",IF(EDATE(サマリ!$B$2,1)&gt;$E20,"期限切れ",IF(EDATE(サマリ!$B$2,2)&gt;$E20,"来月期限",IF(EDATE(サマリ!$B$2,3)&gt;$E20,"再来月期限",""))))</f>
        <v/>
      </c>
      <c r="G20" s="6" t="n"/>
      <c r="H20" s="6" t="n"/>
      <c r="I20" s="10" t="n"/>
      <c r="J20" s="6" t="n"/>
      <c r="K20" s="6" t="n"/>
    </row>
    <row r="21">
      <c r="A21" s="6" t="inlineStr">
        <is>
          <t>323210000</t>
        </is>
      </c>
      <c r="B21" s="6" t="inlineStr">
        <is>
          <t>工業用 FM-Bﾌﾞﾚﾝﾄﾞ３</t>
        </is>
      </c>
      <c r="C21" s="6" t="n"/>
      <c r="D21" s="6" t="inlineStr">
        <is>
          <t>kg</t>
        </is>
      </c>
      <c r="E21" s="10" t="n"/>
      <c r="F21" s="6">
        <f>IF($E21="","",IF(EDATE(サマリ!$B$2,1)&gt;$E21,"期限切れ",IF(EDATE(サマリ!$B$2,2)&gt;$E21,"来月期限",IF(EDATE(サマリ!$B$2,3)&gt;$E21,"再来月期限",""))))</f>
        <v/>
      </c>
      <c r="G21" s="6" t="n"/>
      <c r="H21" s="6" t="n"/>
      <c r="I21" s="10" t="n"/>
      <c r="J21" s="6" t="n"/>
      <c r="K21" s="6" t="n"/>
    </row>
    <row r="22">
      <c r="A22" s="6" t="inlineStr">
        <is>
          <t>323425000</t>
        </is>
      </c>
      <c r="B22" s="6" t="inlineStr">
        <is>
          <t>工業用 CB-L4（豆）</t>
        </is>
      </c>
      <c r="C22" s="6" t="n"/>
      <c r="D22" s="6" t="inlineStr">
        <is>
          <t>kg</t>
        </is>
      </c>
      <c r="E22" s="10" t="n"/>
      <c r="F22" s="6">
        <f>IF($E22="","",IF(EDATE(サマリ!$B$2,1)&gt;$E22,"期限切れ",IF(EDATE(サマリ!$B$2,2)&gt;$E22,"来月期限",IF(EDATE(サマリ!$B$2,3)&gt;$E22,"再来月期限",""))))</f>
        <v/>
      </c>
      <c r="G22" s="6" t="n"/>
      <c r="H22" s="6" t="n"/>
      <c r="I22" s="10" t="n"/>
      <c r="J22" s="6" t="n"/>
      <c r="K22" s="6" t="n"/>
    </row>
    <row r="23">
      <c r="A23" s="6" t="inlineStr">
        <is>
          <t>323466000</t>
        </is>
      </c>
      <c r="B23" s="6" t="inlineStr">
        <is>
          <t>工業用 FBブレンド2</t>
        </is>
      </c>
      <c r="C23" s="6" t="n"/>
      <c r="D23" s="6" t="inlineStr">
        <is>
          <t>kg</t>
        </is>
      </c>
      <c r="E23" s="10" t="n"/>
      <c r="F23" s="6">
        <f>IF($E23="","",IF(EDATE(サマリ!$B$2,1)&gt;$E23,"期限切れ",IF(EDATE(サマリ!$B$2,2)&gt;$E23,"来月期限",IF(EDATE(サマリ!$B$2,3)&gt;$E23,"再来月期限",""))))</f>
        <v/>
      </c>
      <c r="G23" s="6" t="n"/>
      <c r="H23" s="6" t="n"/>
      <c r="I23" s="10" t="n"/>
      <c r="J23" s="6" t="n"/>
      <c r="K23" s="6" t="n"/>
    </row>
    <row r="24">
      <c r="A24" s="6" t="inlineStr">
        <is>
          <t>333292000</t>
        </is>
      </c>
      <c r="B24" s="6" t="inlineStr">
        <is>
          <t>流通企業営業 1部ブレンド（豆）</t>
        </is>
      </c>
      <c r="C24" s="6" t="n"/>
      <c r="D24" s="6" t="inlineStr">
        <is>
          <t>kg</t>
        </is>
      </c>
      <c r="E24" s="10" t="n"/>
      <c r="F24" s="6">
        <f>IF($E24="","",IF(EDATE(サマリ!$B$2,1)&gt;$E24,"期限切れ",IF(EDATE(サマリ!$B$2,2)&gt;$E24,"来月期限",IF(EDATE(サマリ!$B$2,3)&gt;$E24,"再来月期限",""))))</f>
        <v/>
      </c>
      <c r="G24" s="6" t="n"/>
      <c r="H24" s="6" t="n"/>
      <c r="I24" s="10" t="n"/>
      <c r="J24" s="6" t="n"/>
      <c r="K24" s="6" t="n"/>
    </row>
    <row r="25">
      <c r="A25" s="6" t="inlineStr">
        <is>
          <t>333293000</t>
        </is>
      </c>
      <c r="B25" s="6" t="inlineStr">
        <is>
          <t>流通企業営業1部 ﾃﾞｶﾌｪブレンド（豆）</t>
        </is>
      </c>
      <c r="C25" s="6" t="n"/>
      <c r="D25" s="6" t="inlineStr">
        <is>
          <t>kg</t>
        </is>
      </c>
      <c r="E25" s="10" t="n"/>
      <c r="F25" s="6">
        <f>IF($E25="","",IF(EDATE(サマリ!$B$2,1)&gt;$E25,"期限切れ",IF(EDATE(サマリ!$B$2,2)&gt;$E25,"来月期限",IF(EDATE(サマリ!$B$2,3)&gt;$E25,"再来月期限",""))))</f>
        <v/>
      </c>
      <c r="G25" s="6" t="n"/>
      <c r="H25" s="6" t="n"/>
      <c r="I25" s="10" t="n"/>
      <c r="J25" s="6" t="n"/>
      <c r="K25" s="6" t="n"/>
    </row>
    <row r="26">
      <c r="A26" s="6" t="inlineStr">
        <is>
          <t>333351000</t>
        </is>
      </c>
      <c r="B26" s="6" t="inlineStr">
        <is>
          <t>工業用 流通企業営業1部W認証ブレンド2（豆）</t>
        </is>
      </c>
      <c r="C26" s="6" t="n"/>
      <c r="D26" s="6" t="inlineStr">
        <is>
          <t>kg</t>
        </is>
      </c>
      <c r="E26" s="10" t="n"/>
      <c r="F26" s="6">
        <f>IF($E26="","",IF(EDATE(サマリ!$B$2,1)&gt;$E26,"期限切れ",IF(EDATE(サマリ!$B$2,2)&gt;$E26,"来月期限",IF(EDATE(サマリ!$B$2,3)&gt;$E26,"再来月期限",""))))</f>
        <v/>
      </c>
      <c r="G26" s="6" t="n"/>
      <c r="H26" s="6" t="n"/>
      <c r="I26" s="10" t="n"/>
      <c r="J26" s="6" t="n"/>
      <c r="K26" s="6" t="n"/>
    </row>
    <row r="27">
      <c r="A27" s="6" t="inlineStr">
        <is>
          <t>333359000</t>
        </is>
      </c>
      <c r="B27" s="6" t="inlineStr">
        <is>
          <t>工業用 RICHブレンド10（豆）</t>
        </is>
      </c>
      <c r="C27" s="6" t="n"/>
      <c r="D27" s="6" t="inlineStr">
        <is>
          <t>kg</t>
        </is>
      </c>
      <c r="E27" s="10" t="n"/>
      <c r="F27" s="6">
        <f>IF($E27="","",IF(EDATE(サマリ!$B$2,1)&gt;$E27,"期限切れ",IF(EDATE(サマリ!$B$2,2)&gt;$E27,"来月期限",IF(EDATE(サマリ!$B$2,3)&gt;$E27,"再来月期限",""))))</f>
        <v/>
      </c>
      <c r="G27" s="6" t="n"/>
      <c r="H27" s="6" t="n"/>
      <c r="I27" s="10" t="n"/>
      <c r="J27" s="6" t="n"/>
      <c r="K27" s="6" t="n"/>
    </row>
    <row r="28">
      <c r="A28" s="6" t="inlineStr">
        <is>
          <t>333365000</t>
        </is>
      </c>
      <c r="B28" s="6" t="inlineStr">
        <is>
          <t>工業用 ゲイシャブレンド4 (豆)</t>
        </is>
      </c>
      <c r="C28" s="6" t="n"/>
      <c r="D28" s="6" t="inlineStr">
        <is>
          <t>kg</t>
        </is>
      </c>
      <c r="E28" s="10" t="n"/>
      <c r="F28" s="6">
        <f>IF($E28="","",IF(EDATE(サマリ!$B$2,1)&gt;$E28,"期限切れ",IF(EDATE(サマリ!$B$2,2)&gt;$E28,"来月期限",IF(EDATE(サマリ!$B$2,3)&gt;$E28,"再来月期限",""))))</f>
        <v/>
      </c>
      <c r="G28" s="6" t="n"/>
      <c r="H28" s="6" t="n"/>
      <c r="I28" s="10" t="n"/>
      <c r="J28" s="6" t="n"/>
      <c r="K28" s="6" t="n"/>
    </row>
    <row r="29">
      <c r="A29" s="6" t="inlineStr">
        <is>
          <t>333440000</t>
        </is>
      </c>
      <c r="B29" s="6" t="inlineStr">
        <is>
          <t>工業用 SKN-7(豆) 六甲</t>
        </is>
      </c>
      <c r="C29" s="6" t="n"/>
      <c r="D29" s="6" t="inlineStr">
        <is>
          <t>kg</t>
        </is>
      </c>
      <c r="E29" s="10" t="n"/>
      <c r="F29" s="6">
        <f>IF($E29="","",IF(EDATE(サマリ!$B$2,1)&gt;$E29,"期限切れ",IF(EDATE(サマリ!$B$2,2)&gt;$E29,"来月期限",IF(EDATE(サマリ!$B$2,3)&gt;$E29,"再来月期限",""))))</f>
        <v/>
      </c>
      <c r="G29" s="6" t="n"/>
      <c r="H29" s="6" t="n"/>
      <c r="I29" s="10" t="n"/>
      <c r="J29" s="6" t="n"/>
      <c r="K29" s="6" t="n"/>
    </row>
    <row r="30">
      <c r="A30" s="6" t="inlineStr">
        <is>
          <t>333454000</t>
        </is>
      </c>
      <c r="B30" s="6" t="inlineStr">
        <is>
          <t>工業用 CBB海外用(豆)</t>
        </is>
      </c>
      <c r="C30" s="6" t="n"/>
      <c r="D30" s="6" t="inlineStr">
        <is>
          <t>kg</t>
        </is>
      </c>
      <c r="E30" s="10" t="n"/>
      <c r="F30" s="6">
        <f>IF($E30="","",IF(EDATE(サマリ!$B$2,1)&gt;$E30,"期限切れ",IF(EDATE(サマリ!$B$2,2)&gt;$E30,"来月期限",IF(EDATE(サマリ!$B$2,3)&gt;$E30,"再来月期限",""))))</f>
        <v/>
      </c>
      <c r="G30" s="6" t="n"/>
      <c r="H30" s="6" t="n"/>
      <c r="I30" s="10" t="n"/>
      <c r="J30" s="6" t="n"/>
      <c r="K30" s="6" t="n"/>
    </row>
    <row r="31">
      <c r="A31" s="6" t="inlineStr">
        <is>
          <t>333455000</t>
        </is>
      </c>
      <c r="B31" s="6" t="inlineStr">
        <is>
          <t>工業用 CBラテ海外用(豆)</t>
        </is>
      </c>
      <c r="C31" s="6" t="n"/>
      <c r="D31" s="6" t="inlineStr">
        <is>
          <t>kg</t>
        </is>
      </c>
      <c r="E31" s="10" t="n"/>
      <c r="F31" s="6">
        <f>IF($E31="","",IF(EDATE(サマリ!$B$2,1)&gt;$E31,"期限切れ",IF(EDATE(サマリ!$B$2,2)&gt;$E31,"来月期限",IF(EDATE(サマリ!$B$2,3)&gt;$E31,"再来月期限",""))))</f>
        <v/>
      </c>
      <c r="G31" s="6" t="n"/>
      <c r="H31" s="6" t="n"/>
      <c r="I31" s="10" t="n"/>
      <c r="J31" s="6" t="n"/>
      <c r="K31" s="6" t="n"/>
    </row>
    <row r="32">
      <c r="A32" s="6" t="inlineStr">
        <is>
          <t>333457000</t>
        </is>
      </c>
      <c r="B32" s="6" t="inlineStr">
        <is>
          <t>工業用 CBB-P海外用(粉)</t>
        </is>
      </c>
      <c r="C32" s="6" t="n"/>
      <c r="D32" s="6" t="inlineStr">
        <is>
          <t>kg</t>
        </is>
      </c>
      <c r="E32" s="10" t="n"/>
      <c r="F32" s="6">
        <f>IF($E32="","",IF(EDATE(サマリ!$B$2,1)&gt;$E32,"期限切れ",IF(EDATE(サマリ!$B$2,2)&gt;$E32,"来月期限",IF(EDATE(サマリ!$B$2,3)&gt;$E32,"再来月期限",""))))</f>
        <v/>
      </c>
      <c r="G32" s="6" t="n"/>
      <c r="H32" s="6" t="n"/>
      <c r="I32" s="10" t="n"/>
      <c r="J32" s="6" t="n"/>
      <c r="K32" s="6" t="n"/>
    </row>
    <row r="33">
      <c r="A33" s="6" t="inlineStr">
        <is>
          <t>333463000</t>
        </is>
      </c>
      <c r="B33" s="6" t="inlineStr">
        <is>
          <t>工業用 7PCVS無糖(豆)</t>
        </is>
      </c>
      <c r="C33" s="6" t="n"/>
      <c r="D33" s="6" t="inlineStr">
        <is>
          <t>kg</t>
        </is>
      </c>
      <c r="E33" s="10" t="n"/>
      <c r="F33" s="6">
        <f>IF($E33="","",IF(EDATE(サマリ!$B$2,1)&gt;$E33,"期限切れ",IF(EDATE(サマリ!$B$2,2)&gt;$E33,"来月期限",IF(EDATE(サマリ!$B$2,3)&gt;$E33,"再来月期限",""))))</f>
        <v/>
      </c>
      <c r="G33" s="6" t="n"/>
      <c r="H33" s="6" t="n"/>
      <c r="I33" s="10" t="n"/>
      <c r="J33" s="6" t="n"/>
      <c r="K33" s="6" t="n"/>
    </row>
    <row r="34">
      <c r="A34" s="6" t="inlineStr">
        <is>
          <t>333464000</t>
        </is>
      </c>
      <c r="B34" s="6" t="inlineStr">
        <is>
          <t>工業用 7PCVS甘さひかえめ(豆)</t>
        </is>
      </c>
      <c r="C34" s="6" t="n"/>
      <c r="D34" s="6" t="inlineStr">
        <is>
          <t>kg</t>
        </is>
      </c>
      <c r="E34" s="10" t="n"/>
      <c r="F34" s="6">
        <f>IF($E34="","",IF(EDATE(サマリ!$B$2,1)&gt;$E34,"期限切れ",IF(EDATE(サマリ!$B$2,2)&gt;$E34,"来月期限",IF(EDATE(サマリ!$B$2,3)&gt;$E34,"再来月期限",""))))</f>
        <v/>
      </c>
      <c r="G34" s="6" t="n"/>
      <c r="H34" s="6" t="n"/>
      <c r="I34" s="10" t="n"/>
      <c r="J34" s="6" t="n"/>
      <c r="K34" s="6" t="n"/>
    </row>
    <row r="35">
      <c r="A35" s="6" t="inlineStr">
        <is>
          <t>333492000</t>
        </is>
      </c>
      <c r="B35" s="6" t="inlineStr">
        <is>
          <t>工業用 RICHブレンド11（豆）</t>
        </is>
      </c>
      <c r="C35" s="6" t="n"/>
      <c r="D35" s="6" t="inlineStr">
        <is>
          <t>kg</t>
        </is>
      </c>
      <c r="E35" s="10" t="n"/>
      <c r="F35" s="6">
        <f>IF($E35="","",IF(EDATE(サマリ!$B$2,1)&gt;$E35,"期限切れ",IF(EDATE(サマリ!$B$2,2)&gt;$E35,"来月期限",IF(EDATE(サマリ!$B$2,3)&gt;$E35,"再来月期限",""))))</f>
        <v/>
      </c>
      <c r="G35" s="6" t="n"/>
      <c r="H35" s="6" t="n"/>
      <c r="I35" s="10" t="n"/>
      <c r="J35" s="6" t="n"/>
      <c r="K35" s="6" t="n"/>
    </row>
    <row r="36">
      <c r="A36" s="6" t="inlineStr">
        <is>
          <t>333539000</t>
        </is>
      </c>
      <c r="B36" s="6" t="inlineStr">
        <is>
          <t>工業用 CBB-8(豆)</t>
        </is>
      </c>
      <c r="C36" s="6" t="n"/>
      <c r="D36" s="6" t="inlineStr">
        <is>
          <t>kg</t>
        </is>
      </c>
      <c r="E36" s="10" t="n"/>
      <c r="F36" s="6">
        <f>IF($E36="","",IF(EDATE(サマリ!$B$2,1)&gt;$E36,"期限切れ",IF(EDATE(サマリ!$B$2,2)&gt;$E36,"来月期限",IF(EDATE(サマリ!$B$2,3)&gt;$E36,"再来月期限",""))))</f>
        <v/>
      </c>
      <c r="G36" s="6" t="n"/>
      <c r="H36" s="6" t="n"/>
      <c r="I36" s="10" t="n"/>
      <c r="J36" s="6" t="n"/>
      <c r="K36" s="6" t="n"/>
    </row>
    <row r="37">
      <c r="A37" s="6" t="inlineStr">
        <is>
          <t>351182000</t>
        </is>
      </c>
      <c r="B37" s="6" t="inlineStr">
        <is>
          <t>工業用 LWSﾌﾞﾚﾝﾄﾞ２（豆）</t>
        </is>
      </c>
      <c r="C37" s="6" t="n"/>
      <c r="D37" s="6" t="inlineStr">
        <is>
          <t>kg</t>
        </is>
      </c>
      <c r="E37" s="10" t="n"/>
      <c r="F37" s="6">
        <f>IF($E37="","",IF(EDATE(サマリ!$B$2,1)&gt;$E37,"期限切れ",IF(EDATE(サマリ!$B$2,2)&gt;$E37,"来月期限",IF(EDATE(サマリ!$B$2,3)&gt;$E37,"再来月期限",""))))</f>
        <v/>
      </c>
      <c r="G37" s="6" t="n"/>
      <c r="H37" s="6" t="n"/>
      <c r="I37" s="10" t="n"/>
      <c r="J37" s="6" t="n"/>
      <c r="K37" s="6" t="n"/>
    </row>
    <row r="38">
      <c r="A38" s="6" t="inlineStr">
        <is>
          <t>351184000</t>
        </is>
      </c>
      <c r="B38" s="6" t="inlineStr">
        <is>
          <t>工業用 CGCﾌﾞﾚﾝﾄﾞ３（豆）</t>
        </is>
      </c>
      <c r="C38" s="6" t="n"/>
      <c r="D38" s="6" t="inlineStr">
        <is>
          <t>kg</t>
        </is>
      </c>
      <c r="E38" s="10" t="n"/>
      <c r="F38" s="6">
        <f>IF($E38="","",IF(EDATE(サマリ!$B$2,1)&gt;$E38,"期限切れ",IF(EDATE(サマリ!$B$2,2)&gt;$E38,"来月期限",IF(EDATE(サマリ!$B$2,3)&gt;$E38,"再来月期限",""))))</f>
        <v/>
      </c>
      <c r="G38" s="6" t="n"/>
      <c r="H38" s="6" t="n"/>
      <c r="I38" s="10" t="n"/>
      <c r="J38" s="6" t="n"/>
      <c r="K38" s="6" t="n"/>
    </row>
    <row r="39">
      <c r="A39" s="6" t="inlineStr">
        <is>
          <t>351184001</t>
        </is>
      </c>
      <c r="B39" s="6" t="inlineStr">
        <is>
          <t>工業用 アフリカンブレンド(豆)</t>
        </is>
      </c>
      <c r="C39" s="6" t="n"/>
      <c r="D39" s="6" t="inlineStr">
        <is>
          <t>kg</t>
        </is>
      </c>
      <c r="E39" s="10" t="n"/>
      <c r="F39" s="6">
        <f>IF($E39="","",IF(EDATE(サマリ!$B$2,1)&gt;$E39,"期限切れ",IF(EDATE(サマリ!$B$2,2)&gt;$E39,"来月期限",IF(EDATE(サマリ!$B$2,3)&gt;$E39,"再来月期限",""))))</f>
        <v/>
      </c>
      <c r="G39" s="6" t="n"/>
      <c r="H39" s="6" t="n"/>
      <c r="I39" s="10" t="n"/>
      <c r="J39" s="6" t="n"/>
      <c r="K39" s="6" t="n"/>
    </row>
    <row r="40">
      <c r="A40" s="6" t="inlineStr"/>
      <c r="B40" s="6" t="inlineStr">
        <is>
          <t>工業用 SKN-7(豆) 兵庫</t>
        </is>
      </c>
      <c r="C40" s="6" t="n"/>
      <c r="D40" s="6" t="inlineStr">
        <is>
          <t>kg</t>
        </is>
      </c>
      <c r="E40" s="10" t="n"/>
      <c r="F40" s="6">
        <f>IF($E40="","",IF(EDATE(サマリ!$B$2,1)&gt;$E40,"期限切れ",IF(EDATE(サマリ!$B$2,2)&gt;$E40,"来月期限",IF(EDATE(サマリ!$B$2,3)&gt;$E40,"再来月期限",""))))</f>
        <v/>
      </c>
      <c r="G40" s="6" t="n"/>
      <c r="H40" s="6" t="n"/>
      <c r="I40" s="10" t="n"/>
      <c r="J40" s="6" t="n"/>
      <c r="K40" s="6" t="n"/>
    </row>
    <row r="41">
      <c r="A41" s="6" t="inlineStr"/>
      <c r="B41" s="6" t="inlineStr">
        <is>
          <t>工業用 SKN-7(豆) 名古屋</t>
        </is>
      </c>
      <c r="C41" s="6" t="n"/>
      <c r="D41" s="6" t="inlineStr">
        <is>
          <t>kg</t>
        </is>
      </c>
      <c r="E41" s="10" t="n"/>
      <c r="F41" s="6">
        <f>IF($E41="","",IF(EDATE(サマリ!$B$2,1)&gt;$E41,"期限切れ",IF(EDATE(サマリ!$B$2,2)&gt;$E41,"来月期限",IF(EDATE(サマリ!$B$2,3)&gt;$E41,"再来月期限",""))))</f>
        <v/>
      </c>
      <c r="G41" s="6" t="n"/>
      <c r="H41" s="6" t="n"/>
      <c r="I41" s="10" t="n"/>
      <c r="J41" s="6" t="n"/>
      <c r="K41" s="6" t="n"/>
    </row>
  </sheetData>
  <conditionalFormatting sqref="A4:K41">
    <cfRule type="expression" priority="1" dxfId="0">
      <formula>$F4="期限切れ"</formula>
    </cfRule>
    <cfRule type="expression" priority="2" dxfId="1">
      <formula>$F4="来月期限"</formula>
    </cfRule>
  </conditionalFormatting>
  <conditionalFormatting sqref="C4:C41">
    <cfRule type="expression" priority="3" dxfId="2">
      <formula>ISBLANK($C4)</formula>
    </cfRule>
  </conditionalFormatting>
  <dataValidations count="1">
    <dataValidation sqref="J4:J41" showDropDown="0" showInputMessage="0" showErrorMessage="0" allowBlank="1" type="list">
      <formula1>"1回目完了,ダブルチェック完了"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6" customWidth="1" min="4" max="4"/>
    <col width="12" customWidth="1" min="5" max="5"/>
    <col width="12" customWidth="1" min="6" max="6"/>
    <col width="9" customWidth="1" min="7" max="7"/>
    <col width="10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実地棚卸表（副原料）</t>
        </is>
      </c>
      <c r="D1" s="9">
        <f>"棚卸し月: "&amp;TEXT(サマリ!$B$2,"yyyy年m月")</f>
        <v/>
      </c>
    </row>
    <row r="2">
      <c r="A2" s="4" t="inlineStr">
        <is>
          <t>①数量には期限切れ分を含めない ②期限日を入れると期限区分は自動判定（手動で上書き可） ③行の追加・削除・並び替えはしない</t>
        </is>
      </c>
    </row>
    <row r="3">
      <c r="A3" s="5" t="inlineStr">
        <is>
          <t>原料コード</t>
        </is>
      </c>
      <c r="B3" s="5" t="inlineStr">
        <is>
          <t>品名</t>
        </is>
      </c>
      <c r="C3" s="5" t="inlineStr">
        <is>
          <t>数量</t>
        </is>
      </c>
      <c r="D3" s="5" t="inlineStr">
        <is>
          <t>単位</t>
        </is>
      </c>
      <c r="E3" s="5" t="inlineStr">
        <is>
          <t>期限日</t>
        </is>
      </c>
      <c r="F3" s="5" t="inlineStr">
        <is>
          <t>期限区分(自動)</t>
        </is>
      </c>
      <c r="G3" s="5" t="inlineStr">
        <is>
          <t>期限量</t>
        </is>
      </c>
      <c r="H3" s="5" t="inlineStr">
        <is>
          <t>期限切れ量</t>
        </is>
      </c>
      <c r="I3" s="5" t="inlineStr">
        <is>
          <t>期限切れ日</t>
        </is>
      </c>
      <c r="J3" s="5" t="inlineStr">
        <is>
          <t>チェック</t>
        </is>
      </c>
      <c r="K3" s="5" t="inlineStr">
        <is>
          <t>備考</t>
        </is>
      </c>
    </row>
    <row r="4">
      <c r="A4" s="6" t="inlineStr">
        <is>
          <t>400065000</t>
        </is>
      </c>
      <c r="B4" s="6" t="inlineStr">
        <is>
          <t>Brazilian I/C S6E2N(6762)</t>
        </is>
      </c>
      <c r="C4" s="6" t="n"/>
      <c r="D4" s="6" t="inlineStr">
        <is>
          <t>kg</t>
        </is>
      </c>
      <c r="E4" s="10" t="n"/>
      <c r="F4" s="6">
        <f>IF($E4="","",IF(EDATE(サマリ!$B$2,1)&gt;$E4,"期限切れ",IF(EDATE(サマリ!$B$2,2)&gt;$E4,"来月期限",IF(EDATE(サマリ!$B$2,3)&gt;$E4,"再来月期限",""))))</f>
        <v/>
      </c>
      <c r="G4" s="6" t="n"/>
      <c r="H4" s="6" t="n"/>
      <c r="I4" s="10" t="n"/>
      <c r="J4" s="6" t="n"/>
      <c r="K4" s="6" t="n"/>
    </row>
    <row r="5">
      <c r="A5" s="6" t="inlineStr">
        <is>
          <t>950001000</t>
        </is>
      </c>
      <c r="B5" s="6" t="inlineStr">
        <is>
          <t>重曹 （炭酸水素ﾅﾄﾘｳﾑ)</t>
        </is>
      </c>
      <c r="C5" s="6" t="n"/>
      <c r="D5" s="6" t="inlineStr">
        <is>
          <t>kg</t>
        </is>
      </c>
      <c r="E5" s="10" t="n"/>
      <c r="F5" s="6">
        <f>IF($E5="","",IF(EDATE(サマリ!$B$2,1)&gt;$E5,"期限切れ",IF(EDATE(サマリ!$B$2,2)&gt;$E5,"来月期限",IF(EDATE(サマリ!$B$2,3)&gt;$E5,"再来月期限",""))))</f>
        <v/>
      </c>
      <c r="G5" s="6" t="n"/>
      <c r="H5" s="6" t="n"/>
      <c r="I5" s="10" t="n"/>
      <c r="J5" s="6" t="n"/>
      <c r="K5" s="6" t="n"/>
    </row>
    <row r="6">
      <c r="A6" s="6" t="inlineStr">
        <is>
          <t>950003000</t>
        </is>
      </c>
      <c r="B6" s="6" t="inlineStr">
        <is>
          <t>全粉乳</t>
        </is>
      </c>
      <c r="C6" s="6" t="n"/>
      <c r="D6" s="6" t="inlineStr">
        <is>
          <t>kg</t>
        </is>
      </c>
      <c r="E6" s="10" t="n"/>
      <c r="F6" s="6">
        <f>IF($E6="","",IF(EDATE(サマリ!$B$2,1)&gt;$E6,"期限切れ",IF(EDATE(サマリ!$B$2,2)&gt;$E6,"来月期限",IF(EDATE(サマリ!$B$2,3)&gt;$E6,"再来月期限",""))))</f>
        <v/>
      </c>
      <c r="G6" s="6" t="n"/>
      <c r="H6" s="6" t="n"/>
      <c r="I6" s="10" t="n"/>
      <c r="J6" s="6" t="n"/>
      <c r="K6" s="6" t="n"/>
    </row>
    <row r="7">
      <c r="A7" s="6" t="inlineStr">
        <is>
          <t>950004000</t>
        </is>
      </c>
      <c r="B7" s="6" t="inlineStr">
        <is>
          <t>脱脂粉乳</t>
        </is>
      </c>
      <c r="C7" s="6" t="n"/>
      <c r="D7" s="6" t="inlineStr">
        <is>
          <t>kg</t>
        </is>
      </c>
      <c r="E7" s="10" t="n"/>
      <c r="F7" s="6">
        <f>IF($E7="","",IF(EDATE(サマリ!$B$2,1)&gt;$E7,"期限切れ",IF(EDATE(サマリ!$B$2,2)&gt;$E7,"来月期限",IF(EDATE(サマリ!$B$2,3)&gt;$E7,"再来月期限",""))))</f>
        <v/>
      </c>
      <c r="G7" s="6" t="n"/>
      <c r="H7" s="6" t="n"/>
      <c r="I7" s="10" t="n"/>
      <c r="J7" s="6" t="n"/>
      <c r="K7" s="6" t="n"/>
    </row>
    <row r="8">
      <c r="A8" s="6" t="inlineStr">
        <is>
          <t>950100000</t>
        </is>
      </c>
      <c r="B8" s="6" t="inlineStr">
        <is>
          <t>ｼｮ糖型液糖 B×68</t>
        </is>
      </c>
      <c r="C8" s="6" t="n"/>
      <c r="D8" s="6" t="inlineStr">
        <is>
          <t>kg</t>
        </is>
      </c>
      <c r="E8" s="10" t="n"/>
      <c r="F8" s="6">
        <f>IF($E8="","",IF(EDATE(サマリ!$B$2,1)&gt;$E8,"期限切れ",IF(EDATE(サマリ!$B$2,2)&gt;$E8,"来月期限",IF(EDATE(サマリ!$B$2,3)&gt;$E8,"再来月期限",""))))</f>
        <v/>
      </c>
      <c r="G8" s="6" t="n"/>
      <c r="H8" s="6" t="n"/>
      <c r="I8" s="10" t="n"/>
      <c r="J8" s="6" t="n"/>
      <c r="K8" s="6" t="n"/>
    </row>
    <row r="9">
      <c r="A9" s="6" t="inlineStr">
        <is>
          <t>950202000</t>
        </is>
      </c>
      <c r="B9" s="6" t="inlineStr">
        <is>
          <t>原料 殺菌乳</t>
        </is>
      </c>
      <c r="C9" s="6" t="n"/>
      <c r="D9" s="6" t="inlineStr">
        <is>
          <t>kg</t>
        </is>
      </c>
      <c r="E9" s="10" t="n"/>
      <c r="F9" s="6">
        <f>IF($E9="","",IF(EDATE(サマリ!$B$2,1)&gt;$E9,"期限切れ",IF(EDATE(サマリ!$B$2,2)&gt;$E9,"来月期限",IF(EDATE(サマリ!$B$2,3)&gt;$E9,"再来月期限",""))))</f>
        <v/>
      </c>
      <c r="G9" s="6" t="n"/>
      <c r="H9" s="6" t="n"/>
      <c r="I9" s="10" t="n"/>
      <c r="J9" s="6" t="n"/>
      <c r="K9" s="6" t="n"/>
    </row>
    <row r="10">
      <c r="A10" s="6" t="inlineStr">
        <is>
          <t>950401000</t>
        </is>
      </c>
      <c r="B10" s="6" t="inlineStr">
        <is>
          <t>ｼｭｶﾞｰｴｽﾃﾙ S-570</t>
        </is>
      </c>
      <c r="C10" s="6" t="n"/>
      <c r="D10" s="6" t="inlineStr">
        <is>
          <t>kg</t>
        </is>
      </c>
      <c r="E10" s="10" t="n"/>
      <c r="F10" s="6">
        <f>IF($E10="","",IF(EDATE(サマリ!$B$2,1)&gt;$E10,"期限切れ",IF(EDATE(サマリ!$B$2,2)&gt;$E10,"来月期限",IF(EDATE(サマリ!$B$2,3)&gt;$E10,"再来月期限",""))))</f>
        <v/>
      </c>
      <c r="G10" s="6" t="n"/>
      <c r="H10" s="6" t="n"/>
      <c r="I10" s="10" t="n"/>
      <c r="J10" s="6" t="n"/>
      <c r="K10" s="6" t="n"/>
    </row>
    <row r="11">
      <c r="A11" s="6" t="inlineStr">
        <is>
          <t>950404000</t>
        </is>
      </c>
      <c r="B11" s="6" t="inlineStr">
        <is>
          <t>ﾘｮｰﾄｰｼｭｶﾞｰ ｴｽﾃﾙP-1670</t>
        </is>
      </c>
      <c r="C11" s="6" t="n"/>
      <c r="D11" s="6" t="inlineStr">
        <is>
          <t>kg</t>
        </is>
      </c>
      <c r="E11" s="10" t="n"/>
      <c r="F11" s="6">
        <f>IF($E11="","",IF(EDATE(サマリ!$B$2,1)&gt;$E11,"期限切れ",IF(EDATE(サマリ!$B$2,2)&gt;$E11,"来月期限",IF(EDATE(サマリ!$B$2,3)&gt;$E11,"再来月期限",""))))</f>
        <v/>
      </c>
      <c r="G11" s="6" t="n"/>
      <c r="H11" s="6" t="n"/>
      <c r="I11" s="10" t="n"/>
      <c r="J11" s="6" t="n"/>
      <c r="K11" s="6" t="n"/>
    </row>
    <row r="12">
      <c r="A12" s="6" t="inlineStr">
        <is>
          <t>950418000</t>
        </is>
      </c>
      <c r="B12" s="6" t="inlineStr">
        <is>
          <t>ｼﾘｺｰﾝ KM-72F</t>
        </is>
      </c>
      <c r="C12" s="6" t="n"/>
      <c r="D12" s="6" t="inlineStr">
        <is>
          <t>kg</t>
        </is>
      </c>
      <c r="E12" s="10" t="n"/>
      <c r="F12" s="6">
        <f>IF($E12="","",IF(EDATE(サマリ!$B$2,1)&gt;$E12,"期限切れ",IF(EDATE(サマリ!$B$2,2)&gt;$E12,"来月期限",IF(EDATE(サマリ!$B$2,3)&gt;$E12,"再来月期限",""))))</f>
        <v/>
      </c>
      <c r="G12" s="6" t="n"/>
      <c r="H12" s="6" t="n"/>
      <c r="I12" s="10" t="n"/>
      <c r="J12" s="6" t="n"/>
      <c r="K12" s="6" t="n"/>
    </row>
    <row r="13">
      <c r="A13" s="6" t="inlineStr">
        <is>
          <t>950427000</t>
        </is>
      </c>
      <c r="B13" s="6" t="inlineStr">
        <is>
          <t>泡ﾌﾞﾚｲｸ G-109</t>
        </is>
      </c>
      <c r="C13" s="6" t="n"/>
      <c r="D13" s="6" t="inlineStr">
        <is>
          <t>kg</t>
        </is>
      </c>
      <c r="E13" s="10" t="n"/>
      <c r="F13" s="6">
        <f>IF($E13="","",IF(EDATE(サマリ!$B$2,1)&gt;$E13,"期限切れ",IF(EDATE(サマリ!$B$2,2)&gt;$E13,"来月期限",IF(EDATE(サマリ!$B$2,3)&gt;$E13,"再来月期限",""))))</f>
        <v/>
      </c>
      <c r="G13" s="6" t="n"/>
      <c r="H13" s="6" t="n"/>
      <c r="I13" s="10" t="n"/>
      <c r="J13" s="6" t="n"/>
      <c r="K13" s="6" t="n"/>
    </row>
    <row r="14">
      <c r="A14" s="6" t="inlineStr">
        <is>
          <t>950485000</t>
        </is>
      </c>
      <c r="B14" s="6" t="inlineStr">
        <is>
          <t>ｾｵﾗｽ SC-900S</t>
        </is>
      </c>
      <c r="C14" s="6" t="n"/>
      <c r="D14" s="6" t="inlineStr">
        <is>
          <t>kg</t>
        </is>
      </c>
      <c r="E14" s="10" t="n"/>
      <c r="F14" s="6">
        <f>IF($E14="","",IF(EDATE(サマリ!$B$2,1)&gt;$E14,"期限切れ",IF(EDATE(サマリ!$B$2,2)&gt;$E14,"来月期限",IF(EDATE(サマリ!$B$2,3)&gt;$E14,"再来月期限",""))))</f>
        <v/>
      </c>
      <c r="G14" s="6" t="n"/>
      <c r="H14" s="6" t="n"/>
      <c r="I14" s="10" t="n"/>
      <c r="J14" s="6" t="n"/>
      <c r="K14" s="6" t="n"/>
    </row>
    <row r="15">
      <c r="A15" s="6" t="inlineStr">
        <is>
          <t>950494000</t>
        </is>
      </c>
      <c r="B15" s="6" t="inlineStr">
        <is>
          <t>SﾋﾞﾀｰⅡ</t>
        </is>
      </c>
      <c r="C15" s="6" t="n"/>
      <c r="D15" s="6" t="inlineStr">
        <is>
          <t>kg</t>
        </is>
      </c>
      <c r="E15" s="10" t="n"/>
      <c r="F15" s="6">
        <f>IF($E15="","",IF(EDATE(サマリ!$B$2,1)&gt;$E15,"期限切れ",IF(EDATE(サマリ!$B$2,2)&gt;$E15,"来月期限",IF(EDATE(サマリ!$B$2,3)&gt;$E15,"再来月期限",""))))</f>
        <v/>
      </c>
      <c r="G15" s="6" t="n"/>
      <c r="H15" s="6" t="n"/>
      <c r="I15" s="10" t="n"/>
      <c r="J15" s="6" t="n"/>
      <c r="K15" s="6" t="n"/>
    </row>
    <row r="16">
      <c r="A16" s="6" t="inlineStr">
        <is>
          <t>950527000</t>
        </is>
      </c>
      <c r="B16" s="6" t="inlineStr">
        <is>
          <t>粉末製剤UH</t>
        </is>
      </c>
      <c r="C16" s="6" t="n"/>
      <c r="D16" s="6" t="inlineStr">
        <is>
          <t>kg</t>
        </is>
      </c>
      <c r="E16" s="10" t="n"/>
      <c r="F16" s="6">
        <f>IF($E16="","",IF(EDATE(サマリ!$B$2,1)&gt;$E16,"期限切れ",IF(EDATE(サマリ!$B$2,2)&gt;$E16,"来月期限",IF(EDATE(サマリ!$B$2,3)&gt;$E16,"再来月期限",""))))</f>
        <v/>
      </c>
      <c r="G16" s="6" t="n"/>
      <c r="H16" s="6" t="n"/>
      <c r="I16" s="10" t="n"/>
      <c r="J16" s="6" t="n"/>
      <c r="K16" s="6" t="n"/>
    </row>
    <row r="17">
      <c r="A17" s="6" t="inlineStr">
        <is>
          <t>950529000</t>
        </is>
      </c>
      <c r="B17" s="6" t="inlineStr">
        <is>
          <t>乳糖</t>
        </is>
      </c>
      <c r="C17" s="6" t="n"/>
      <c r="D17" s="6" t="inlineStr">
        <is>
          <t>kg</t>
        </is>
      </c>
      <c r="E17" s="10" t="n"/>
      <c r="F17" s="6">
        <f>IF($E17="","",IF(EDATE(サマリ!$B$2,1)&gt;$E17,"期限切れ",IF(EDATE(サマリ!$B$2,2)&gt;$E17,"来月期限",IF(EDATE(サマリ!$B$2,3)&gt;$E17,"再来月期限",""))))</f>
        <v/>
      </c>
      <c r="G17" s="6" t="n"/>
      <c r="H17" s="6" t="n"/>
      <c r="I17" s="10" t="n"/>
      <c r="J17" s="6" t="n"/>
      <c r="K17" s="6" t="n"/>
    </row>
    <row r="18">
      <c r="A18" s="6" t="inlineStr">
        <is>
          <t>950550000</t>
        </is>
      </c>
      <c r="B18" s="6" t="inlineStr">
        <is>
          <t>ﾘｮｰﾄｰCP-Y040</t>
        </is>
      </c>
      <c r="C18" s="6" t="n"/>
      <c r="D18" s="6" t="inlineStr">
        <is>
          <t>kg</t>
        </is>
      </c>
      <c r="E18" s="10" t="n"/>
      <c r="F18" s="6">
        <f>IF($E18="","",IF(EDATE(サマリ!$B$2,1)&gt;$E18,"期限切れ",IF(EDATE(サマリ!$B$2,2)&gt;$E18,"来月期限",IF(EDATE(サマリ!$B$2,3)&gt;$E18,"再来月期限",""))))</f>
        <v/>
      </c>
      <c r="G18" s="6" t="n"/>
      <c r="H18" s="6" t="n"/>
      <c r="I18" s="10" t="n"/>
      <c r="J18" s="6" t="n"/>
      <c r="K18" s="6" t="n"/>
    </row>
    <row r="19">
      <c r="A19" s="6" t="inlineStr">
        <is>
          <t>950608000</t>
        </is>
      </c>
      <c r="B19" s="6" t="inlineStr">
        <is>
          <t>全脂濃縮乳</t>
        </is>
      </c>
      <c r="C19" s="6" t="n"/>
      <c r="D19" s="6" t="inlineStr">
        <is>
          <t>kg</t>
        </is>
      </c>
      <c r="E19" s="10" t="n"/>
      <c r="F19" s="6">
        <f>IF($E19="","",IF(EDATE(サマリ!$B$2,1)&gt;$E19,"期限切れ",IF(EDATE(サマリ!$B$2,2)&gt;$E19,"来月期限",IF(EDATE(サマリ!$B$2,3)&gt;$E19,"再来月期限",""))))</f>
        <v/>
      </c>
      <c r="G19" s="6" t="n"/>
      <c r="H19" s="6" t="n"/>
      <c r="I19" s="10" t="n"/>
      <c r="J19" s="6" t="n"/>
      <c r="K19" s="6" t="n"/>
    </row>
    <row r="20">
      <c r="A20" s="6" t="inlineStr">
        <is>
          <t>950799000</t>
        </is>
      </c>
      <c r="B20" s="6" t="inlineStr">
        <is>
          <t>ｽﾏｰﾄﾃｲｽﾄ</t>
        </is>
      </c>
      <c r="C20" s="6" t="n"/>
      <c r="D20" s="6" t="inlineStr">
        <is>
          <t>kg</t>
        </is>
      </c>
      <c r="E20" s="10" t="n"/>
      <c r="F20" s="6">
        <f>IF($E20="","",IF(EDATE(サマリ!$B$2,1)&gt;$E20,"期限切れ",IF(EDATE(サマリ!$B$2,2)&gt;$E20,"来月期限",IF(EDATE(サマリ!$B$2,3)&gt;$E20,"再来月期限",""))))</f>
        <v/>
      </c>
      <c r="G20" s="6" t="n"/>
      <c r="H20" s="6" t="n"/>
      <c r="I20" s="10" t="n"/>
      <c r="J20" s="6" t="n"/>
      <c r="K20" s="6" t="n"/>
    </row>
    <row r="21">
      <c r="A21" s="6" t="inlineStr">
        <is>
          <t>950865000</t>
        </is>
      </c>
      <c r="B21" s="6" t="inlineStr">
        <is>
          <t>ｽｸﾗﾛｰｽ</t>
        </is>
      </c>
      <c r="C21" s="6" t="n"/>
      <c r="D21" s="6" t="inlineStr">
        <is>
          <t>kg</t>
        </is>
      </c>
      <c r="E21" s="10" t="n"/>
      <c r="F21" s="6">
        <f>IF($E21="","",IF(EDATE(サマリ!$B$2,1)&gt;$E21,"期限切れ",IF(EDATE(サマリ!$B$2,2)&gt;$E21,"来月期限",IF(EDATE(サマリ!$B$2,3)&gt;$E21,"再来月期限",""))))</f>
        <v/>
      </c>
      <c r="G21" s="6" t="n"/>
      <c r="H21" s="6" t="n"/>
      <c r="I21" s="10" t="n"/>
      <c r="J21" s="6" t="n"/>
      <c r="K21" s="6" t="n"/>
    </row>
    <row r="22">
      <c r="A22" s="6" t="inlineStr">
        <is>
          <t>950931000</t>
        </is>
      </c>
      <c r="B22" s="6" t="inlineStr">
        <is>
          <t>ｶｾﾞｲﾝﾅﾄﾘｳﾑ</t>
        </is>
      </c>
      <c r="C22" s="6" t="n"/>
      <c r="D22" s="6" t="inlineStr">
        <is>
          <t>kg</t>
        </is>
      </c>
      <c r="E22" s="10" t="n"/>
      <c r="F22" s="6">
        <f>IF($E22="","",IF(EDATE(サマリ!$B$2,1)&gt;$E22,"期限切れ",IF(EDATE(サマリ!$B$2,2)&gt;$E22,"来月期限",IF(EDATE(サマリ!$B$2,3)&gt;$E22,"再来月期限",""))))</f>
        <v/>
      </c>
      <c r="G22" s="6" t="n"/>
      <c r="H22" s="6" t="n"/>
      <c r="I22" s="10" t="n"/>
      <c r="J22" s="6" t="n"/>
      <c r="K22" s="6" t="n"/>
    </row>
    <row r="23">
      <c r="A23" s="6" t="inlineStr">
        <is>
          <t>950955000</t>
        </is>
      </c>
      <c r="B23" s="6" t="inlineStr">
        <is>
          <t>L-ｱｽｺﾙﾋﾞﾝ酸 ﾅﾄﾘｳﾑ</t>
        </is>
      </c>
      <c r="C23" s="6" t="n"/>
      <c r="D23" s="6" t="inlineStr">
        <is>
          <t>kg</t>
        </is>
      </c>
      <c r="E23" s="10" t="n"/>
      <c r="F23" s="6">
        <f>IF($E23="","",IF(EDATE(サマリ!$B$2,1)&gt;$E23,"期限切れ",IF(EDATE(サマリ!$B$2,2)&gt;$E23,"来月期限",IF(EDATE(サマリ!$B$2,3)&gt;$E23,"再来月期限",""))))</f>
        <v/>
      </c>
      <c r="G23" s="6" t="n"/>
      <c r="H23" s="6" t="n"/>
      <c r="I23" s="10" t="n"/>
      <c r="J23" s="6" t="n"/>
      <c r="K23" s="6" t="n"/>
    </row>
    <row r="24">
      <c r="A24" s="6" t="inlineStr">
        <is>
          <t>951135000</t>
        </is>
      </c>
      <c r="B24" s="6" t="inlineStr">
        <is>
          <t>ﾐﾙｸﾌﾚｰﾊﾞｰ No.102090(P)</t>
        </is>
      </c>
      <c r="C24" s="6" t="n"/>
      <c r="D24" s="6" t="inlineStr">
        <is>
          <t>kg</t>
        </is>
      </c>
      <c r="E24" s="10" t="n"/>
      <c r="F24" s="6">
        <f>IF($E24="","",IF(EDATE(サマリ!$B$2,1)&gt;$E24,"期限切れ",IF(EDATE(サマリ!$B$2,2)&gt;$E24,"来月期限",IF(EDATE(サマリ!$B$2,3)&gt;$E24,"再来月期限",""))))</f>
        <v/>
      </c>
      <c r="G24" s="6" t="n"/>
      <c r="H24" s="6" t="n"/>
      <c r="I24" s="10" t="n"/>
      <c r="J24" s="6" t="n"/>
      <c r="K24" s="6" t="n"/>
    </row>
    <row r="25">
      <c r="A25" s="6" t="inlineStr">
        <is>
          <t>951169000</t>
        </is>
      </c>
      <c r="B25" s="6" t="inlineStr">
        <is>
          <t>ｶﾗｷﾞﾆﾝ CSI-1(F)</t>
        </is>
      </c>
      <c r="C25" s="6" t="n"/>
      <c r="D25" s="6" t="inlineStr">
        <is>
          <t>kg</t>
        </is>
      </c>
      <c r="E25" s="10" t="n"/>
      <c r="F25" s="6">
        <f>IF($E25="","",IF(EDATE(サマリ!$B$2,1)&gt;$E25,"期限切れ",IF(EDATE(サマリ!$B$2,2)&gt;$E25,"来月期限",IF(EDATE(サマリ!$B$2,3)&gt;$E25,"再来月期限",""))))</f>
        <v/>
      </c>
      <c r="G25" s="6" t="n"/>
      <c r="H25" s="6" t="n"/>
      <c r="I25" s="10" t="n"/>
      <c r="J25" s="6" t="n"/>
      <c r="K25" s="6" t="n"/>
    </row>
    <row r="26">
      <c r="A26" s="6" t="inlineStr">
        <is>
          <t>951184000</t>
        </is>
      </c>
      <c r="B26" s="6" t="inlineStr">
        <is>
          <t>ﾘｮｰﾄｰｴｽﾃﾙ CA-F4</t>
        </is>
      </c>
      <c r="C26" s="6" t="n"/>
      <c r="D26" s="6" t="inlineStr">
        <is>
          <t>kg</t>
        </is>
      </c>
      <c r="E26" s="10" t="n"/>
      <c r="F26" s="6">
        <f>IF($E26="","",IF(EDATE(サマリ!$B$2,1)&gt;$E26,"期限切れ",IF(EDATE(サマリ!$B$2,2)&gt;$E26,"来月期限",IF(EDATE(サマリ!$B$2,3)&gt;$E26,"再来月期限",""))))</f>
        <v/>
      </c>
      <c r="G26" s="6" t="n"/>
      <c r="H26" s="6" t="n"/>
      <c r="I26" s="10" t="n"/>
      <c r="J26" s="6" t="n"/>
      <c r="K26" s="6" t="n"/>
    </row>
    <row r="27">
      <c r="A27" s="6" t="inlineStr">
        <is>
          <t>951241000</t>
        </is>
      </c>
      <c r="B27" s="6" t="inlineStr">
        <is>
          <t>SﾋﾞﾀｰCF</t>
        </is>
      </c>
      <c r="C27" s="6" t="n"/>
      <c r="D27" s="6" t="inlineStr">
        <is>
          <t>kg</t>
        </is>
      </c>
      <c r="E27" s="10" t="n"/>
      <c r="F27" s="6">
        <f>IF($E27="","",IF(EDATE(サマリ!$B$2,1)&gt;$E27,"期限切れ",IF(EDATE(サマリ!$B$2,2)&gt;$E27,"来月期限",IF(EDATE(サマリ!$B$2,3)&gt;$E27,"再来月期限",""))))</f>
        <v/>
      </c>
      <c r="G27" s="6" t="n"/>
      <c r="H27" s="6" t="n"/>
      <c r="I27" s="10" t="n"/>
      <c r="J27" s="6" t="n"/>
      <c r="K27" s="6" t="n"/>
    </row>
    <row r="28">
      <c r="A28" s="6" t="inlineStr">
        <is>
          <t>951252000</t>
        </is>
      </c>
      <c r="B28" s="6" t="inlineStr">
        <is>
          <t>ﾐﾙｸﾓﾃﾞｨﾌｧｲｱｰ No.1(P)</t>
        </is>
      </c>
      <c r="C28" s="6" t="n"/>
      <c r="D28" s="6" t="inlineStr">
        <is>
          <t>kg</t>
        </is>
      </c>
      <c r="E28" s="10" t="n"/>
      <c r="F28" s="6">
        <f>IF($E28="","",IF(EDATE(サマリ!$B$2,1)&gt;$E28,"期限切れ",IF(EDATE(サマリ!$B$2,2)&gt;$E28,"来月期限",IF(EDATE(サマリ!$B$2,3)&gt;$E28,"再来月期限",""))))</f>
        <v/>
      </c>
      <c r="G28" s="6" t="n"/>
      <c r="H28" s="6" t="n"/>
      <c r="I28" s="10" t="n"/>
      <c r="J28" s="6" t="n"/>
      <c r="K28" s="6" t="n"/>
    </row>
    <row r="29">
      <c r="A29" s="6" t="inlineStr">
        <is>
          <t>951809000</t>
        </is>
      </c>
      <c r="B29" s="6" t="inlineStr">
        <is>
          <t>食塩(ﾄﾐﾀｿﾙﾄ)</t>
        </is>
      </c>
      <c r="C29" s="6" t="n"/>
      <c r="D29" s="6" t="inlineStr">
        <is>
          <t>kg</t>
        </is>
      </c>
      <c r="E29" s="10" t="n"/>
      <c r="F29" s="6">
        <f>IF($E29="","",IF(EDATE(サマリ!$B$2,1)&gt;$E29,"期限切れ",IF(EDATE(サマリ!$B$2,2)&gt;$E29,"来月期限",IF(EDATE(サマリ!$B$2,3)&gt;$E29,"再来月期限",""))))</f>
        <v/>
      </c>
      <c r="G29" s="6" t="n"/>
      <c r="H29" s="6" t="n"/>
      <c r="I29" s="10" t="n"/>
      <c r="J29" s="6" t="n"/>
      <c r="K29" s="6" t="n"/>
    </row>
    <row r="30">
      <c r="A30" s="6" t="inlineStr">
        <is>
          <t>951890000</t>
        </is>
      </c>
      <c r="B30" s="6" t="inlineStr">
        <is>
          <t>ｶﾗｷﾞﾆﾝ Hi-pHive</t>
        </is>
      </c>
      <c r="C30" s="6" t="n"/>
      <c r="D30" s="6" t="inlineStr">
        <is>
          <t>kg</t>
        </is>
      </c>
      <c r="E30" s="10" t="n"/>
      <c r="F30" s="6">
        <f>IF($E30="","",IF(EDATE(サマリ!$B$2,1)&gt;$E30,"期限切れ",IF(EDATE(サマリ!$B$2,2)&gt;$E30,"来月期限",IF(EDATE(サマリ!$B$2,3)&gt;$E30,"再来月期限",""))))</f>
        <v/>
      </c>
      <c r="G30" s="6" t="n"/>
      <c r="H30" s="6" t="n"/>
      <c r="I30" s="10" t="n"/>
      <c r="J30" s="6" t="n"/>
      <c r="K30" s="6" t="n"/>
    </row>
    <row r="31">
      <c r="A31" s="6" t="inlineStr">
        <is>
          <t>951954000</t>
        </is>
      </c>
      <c r="B31" s="6" t="inlineStr">
        <is>
          <t>北海道産生ｸﾘｰﾑ (ﾌﾚｯｼｭ47)浦幌乳</t>
        </is>
      </c>
      <c r="C31" s="6" t="n"/>
      <c r="D31" s="6" t="inlineStr">
        <is>
          <t>kg</t>
        </is>
      </c>
      <c r="E31" s="10" t="n"/>
      <c r="F31" s="6">
        <f>IF($E31="","",IF(EDATE(サマリ!$B$2,1)&gt;$E31,"期限切れ",IF(EDATE(サマリ!$B$2,2)&gt;$E31,"来月期限",IF(EDATE(サマリ!$B$2,3)&gt;$E31,"再来月期限",""))))</f>
        <v/>
      </c>
      <c r="G31" s="6" t="n"/>
      <c r="H31" s="6" t="n"/>
      <c r="I31" s="10" t="n"/>
      <c r="J31" s="6" t="n"/>
      <c r="K31" s="6" t="n"/>
    </row>
    <row r="32">
      <c r="A32" s="6" t="inlineStr">
        <is>
          <t>951965000</t>
        </is>
      </c>
      <c r="B32" s="6" t="inlineStr">
        <is>
          <t>黒糖焦がし D-1</t>
        </is>
      </c>
      <c r="C32" s="6" t="n"/>
      <c r="D32" s="6" t="inlineStr">
        <is>
          <t>kg</t>
        </is>
      </c>
      <c r="E32" s="10" t="n"/>
      <c r="F32" s="6">
        <f>IF($E32="","",IF(EDATE(サマリ!$B$2,1)&gt;$E32,"期限切れ",IF(EDATE(サマリ!$B$2,2)&gt;$E32,"来月期限",IF(EDATE(サマリ!$B$2,3)&gt;$E32,"再来月期限",""))))</f>
        <v/>
      </c>
      <c r="G32" s="6" t="n"/>
      <c r="H32" s="6" t="n"/>
      <c r="I32" s="10" t="n"/>
      <c r="J32" s="6" t="n"/>
      <c r="K32" s="6" t="n"/>
    </row>
    <row r="33">
      <c r="A33" s="6" t="inlineStr">
        <is>
          <t>952630000</t>
        </is>
      </c>
      <c r="B33" s="6" t="inlineStr">
        <is>
          <t>ｻﾝﾃﾞｯｸ#70FN</t>
        </is>
      </c>
      <c r="C33" s="6" t="n"/>
      <c r="D33" s="6" t="inlineStr">
        <is>
          <t>kg</t>
        </is>
      </c>
      <c r="E33" s="10" t="n"/>
      <c r="F33" s="6">
        <f>IF($E33="","",IF(EDATE(サマリ!$B$2,1)&gt;$E33,"期限切れ",IF(EDATE(サマリ!$B$2,2)&gt;$E33,"来月期限",IF(EDATE(サマリ!$B$2,3)&gt;$E33,"再来月期限",""))))</f>
        <v/>
      </c>
      <c r="G33" s="6" t="n"/>
      <c r="H33" s="6" t="n"/>
      <c r="I33" s="10" t="n"/>
      <c r="J33" s="6" t="n"/>
      <c r="K33" s="6" t="n"/>
    </row>
    <row r="34">
      <c r="A34" s="6" t="inlineStr">
        <is>
          <t>952639000</t>
        </is>
      </c>
      <c r="B34" s="6" t="inlineStr">
        <is>
          <t>ｱｾｽﾌｧﾑK （Ｔ－ＡＣＫ）</t>
        </is>
      </c>
      <c r="C34" s="6" t="n"/>
      <c r="D34" s="6" t="inlineStr">
        <is>
          <t>kg</t>
        </is>
      </c>
      <c r="E34" s="10" t="n"/>
      <c r="F34" s="6">
        <f>IF($E34="","",IF(EDATE(サマリ!$B$2,1)&gt;$E34,"期限切れ",IF(EDATE(サマリ!$B$2,2)&gt;$E34,"来月期限",IF(EDATE(サマリ!$B$2,3)&gt;$E34,"再来月期限",""))))</f>
        <v/>
      </c>
      <c r="G34" s="6" t="n"/>
      <c r="H34" s="6" t="n"/>
      <c r="I34" s="10" t="n"/>
      <c r="J34" s="6" t="n"/>
      <c r="K34" s="6" t="n"/>
    </row>
    <row r="35">
      <c r="A35" s="6" t="inlineStr">
        <is>
          <t>952795000</t>
        </is>
      </c>
      <c r="B35" s="6" t="inlineStr">
        <is>
          <t>呈未ﾍﾞｰｽ FL1560P</t>
        </is>
      </c>
      <c r="C35" s="6" t="n"/>
      <c r="D35" s="6" t="inlineStr">
        <is>
          <t>kg</t>
        </is>
      </c>
      <c r="E35" s="10" t="n"/>
      <c r="F35" s="6">
        <f>IF($E35="","",IF(EDATE(サマリ!$B$2,1)&gt;$E35,"期限切れ",IF(EDATE(サマリ!$B$2,2)&gt;$E35,"来月期限",IF(EDATE(サマリ!$B$2,3)&gt;$E35,"再来月期限",""))))</f>
        <v/>
      </c>
      <c r="G35" s="6" t="n"/>
      <c r="H35" s="6" t="n"/>
      <c r="I35" s="10" t="n"/>
      <c r="J35" s="6" t="n"/>
      <c r="K35" s="6" t="n"/>
    </row>
    <row r="36">
      <c r="A36" s="6" t="inlineStr">
        <is>
          <t>952825000</t>
        </is>
      </c>
      <c r="B36" s="6" t="inlineStr">
        <is>
          <t>WPP-29 ＮZ (粉末調整剤)</t>
        </is>
      </c>
      <c r="C36" s="6" t="n"/>
      <c r="D36" s="6" t="inlineStr">
        <is>
          <t>kg</t>
        </is>
      </c>
      <c r="E36" s="10" t="n"/>
      <c r="F36" s="6">
        <f>IF($E36="","",IF(EDATE(サマリ!$B$2,1)&gt;$E36,"期限切れ",IF(EDATE(サマリ!$B$2,2)&gt;$E36,"来月期限",IF(EDATE(サマリ!$B$2,3)&gt;$E36,"再来月期限",""))))</f>
        <v/>
      </c>
      <c r="G36" s="6" t="n"/>
      <c r="H36" s="6" t="n"/>
      <c r="I36" s="10" t="n"/>
      <c r="J36" s="6" t="n"/>
      <c r="K36" s="6" t="n"/>
    </row>
    <row r="37">
      <c r="A37" s="6" t="inlineStr">
        <is>
          <t>953099000</t>
        </is>
      </c>
      <c r="B37" s="6" t="inlineStr">
        <is>
          <t>SPP-29 (粉乳調整品)</t>
        </is>
      </c>
      <c r="C37" s="6" t="n"/>
      <c r="D37" s="6" t="inlineStr">
        <is>
          <t>kg</t>
        </is>
      </c>
      <c r="E37" s="10" t="n"/>
      <c r="F37" s="6">
        <f>IF($E37="","",IF(EDATE(サマリ!$B$2,1)&gt;$E37,"期限切れ",IF(EDATE(サマリ!$B$2,2)&gt;$E37,"来月期限",IF(EDATE(サマリ!$B$2,3)&gt;$E37,"再来月期限",""))))</f>
        <v/>
      </c>
      <c r="G37" s="6" t="n"/>
      <c r="H37" s="6" t="n"/>
      <c r="I37" s="10" t="n"/>
      <c r="J37" s="6" t="n"/>
      <c r="K37" s="6" t="n"/>
    </row>
    <row r="38">
      <c r="A38" s="6" t="inlineStr">
        <is>
          <t>953113000</t>
        </is>
      </c>
      <c r="B38" s="6" t="inlineStr">
        <is>
          <t>ﾀﾝﾅｰｾﾞ</t>
        </is>
      </c>
      <c r="C38" s="6" t="n"/>
      <c r="D38" s="6" t="inlineStr">
        <is>
          <t>kg</t>
        </is>
      </c>
      <c r="E38" s="10" t="n"/>
      <c r="F38" s="6">
        <f>IF($E38="","",IF(EDATE(サマリ!$B$2,1)&gt;$E38,"期限切れ",IF(EDATE(サマリ!$B$2,2)&gt;$E38,"来月期限",IF(EDATE(サマリ!$B$2,3)&gt;$E38,"再来月期限",""))))</f>
        <v/>
      </c>
      <c r="G38" s="6" t="n"/>
      <c r="H38" s="6" t="n"/>
      <c r="I38" s="10" t="n"/>
      <c r="J38" s="6" t="n"/>
      <c r="K38" s="6" t="n"/>
    </row>
    <row r="39">
      <c r="A39" s="6" t="inlineStr">
        <is>
          <t>953206000</t>
        </is>
      </c>
      <c r="B39" s="6" t="inlineStr">
        <is>
          <t>ﾐﾙｸﾌﾚｰﾊﾞｰ SW-16049</t>
        </is>
      </c>
      <c r="C39" s="6" t="n"/>
      <c r="D39" s="6" t="inlineStr">
        <is>
          <t>kg</t>
        </is>
      </c>
      <c r="E39" s="10" t="n"/>
      <c r="F39" s="6">
        <f>IF($E39="","",IF(EDATE(サマリ!$B$2,1)&gt;$E39,"期限切れ",IF(EDATE(サマリ!$B$2,2)&gt;$E39,"来月期限",IF(EDATE(サマリ!$B$2,3)&gt;$E39,"再来月期限",""))))</f>
        <v/>
      </c>
      <c r="G39" s="6" t="n"/>
      <c r="H39" s="6" t="n"/>
      <c r="I39" s="10" t="n"/>
      <c r="J39" s="6" t="n"/>
      <c r="K39" s="6" t="n"/>
    </row>
    <row r="40">
      <c r="A40" s="6" t="inlineStr">
        <is>
          <t>953330000</t>
        </is>
      </c>
      <c r="B40" s="6" t="inlineStr">
        <is>
          <t>ｼﾘｺｰﾝ KM-72GS</t>
        </is>
      </c>
      <c r="C40" s="6" t="n"/>
      <c r="D40" s="6" t="inlineStr">
        <is>
          <t>kg</t>
        </is>
      </c>
      <c r="E40" s="10" t="n"/>
      <c r="F40" s="6">
        <f>IF($E40="","",IF(EDATE(サマリ!$B$2,1)&gt;$E40,"期限切れ",IF(EDATE(サマリ!$B$2,2)&gt;$E40,"来月期限",IF(EDATE(サマリ!$B$2,3)&gt;$E40,"再来月期限",""))))</f>
        <v/>
      </c>
      <c r="G40" s="6" t="n"/>
      <c r="H40" s="6" t="n"/>
      <c r="I40" s="10" t="n"/>
      <c r="J40" s="6" t="n"/>
      <c r="K40" s="6" t="n"/>
    </row>
    <row r="41">
      <c r="A41" s="6" t="inlineStr">
        <is>
          <t>953331000</t>
        </is>
      </c>
      <c r="B41" s="6" t="inlineStr">
        <is>
          <t>ﾘｮｰﾄｰｼｭｶﾞｰ ｴｽﾃﾙ S-370</t>
        </is>
      </c>
      <c r="C41" s="6" t="n"/>
      <c r="D41" s="6" t="inlineStr">
        <is>
          <t>kg</t>
        </is>
      </c>
      <c r="E41" s="10" t="n"/>
      <c r="F41" s="6">
        <f>IF($E41="","",IF(EDATE(サマリ!$B$2,1)&gt;$E41,"期限切れ",IF(EDATE(サマリ!$B$2,2)&gt;$E41,"来月期限",IF(EDATE(サマリ!$B$2,3)&gt;$E41,"再来月期限",""))))</f>
        <v/>
      </c>
      <c r="G41" s="6" t="n"/>
      <c r="H41" s="6" t="n"/>
      <c r="I41" s="10" t="n"/>
      <c r="J41" s="6" t="n"/>
      <c r="K41" s="6" t="n"/>
    </row>
    <row r="42">
      <c r="A42" s="6" t="inlineStr">
        <is>
          <t>953760000</t>
        </is>
      </c>
      <c r="B42" s="6" t="inlineStr">
        <is>
          <t>甘蔗黒蜜</t>
        </is>
      </c>
      <c r="C42" s="6" t="n"/>
      <c r="D42" s="6" t="inlineStr">
        <is>
          <t>kg</t>
        </is>
      </c>
      <c r="E42" s="10" t="n"/>
      <c r="F42" s="6">
        <f>IF($E42="","",IF(EDATE(サマリ!$B$2,1)&gt;$E42,"期限切れ",IF(EDATE(サマリ!$B$2,2)&gt;$E42,"来月期限",IF(EDATE(サマリ!$B$2,3)&gt;$E42,"再来月期限",""))))</f>
        <v/>
      </c>
      <c r="G42" s="6" t="n"/>
      <c r="H42" s="6" t="n"/>
      <c r="I42" s="10" t="n"/>
      <c r="J42" s="6" t="n"/>
      <c r="K42" s="6" t="n"/>
    </row>
    <row r="43">
      <c r="A43" s="6" t="inlineStr">
        <is>
          <t>953760000</t>
        </is>
      </c>
      <c r="B43" s="6" t="inlineStr">
        <is>
          <t>甘蔗黒蜜OHS</t>
        </is>
      </c>
      <c r="C43" s="6" t="n"/>
      <c r="D43" s="6" t="inlineStr">
        <is>
          <t>kg</t>
        </is>
      </c>
      <c r="E43" s="10" t="n"/>
      <c r="F43" s="6">
        <f>IF($E43="","",IF(EDATE(サマリ!$B$2,1)&gt;$E43,"期限切れ",IF(EDATE(サマリ!$B$2,2)&gt;$E43,"来月期限",IF(EDATE(サマリ!$B$2,3)&gt;$E43,"再来月期限",""))))</f>
        <v/>
      </c>
      <c r="G43" s="6" t="n"/>
      <c r="H43" s="6" t="n"/>
      <c r="I43" s="10" t="n"/>
      <c r="J43" s="6" t="n"/>
      <c r="K43" s="6" t="n"/>
    </row>
    <row r="44">
      <c r="A44" s="6" t="inlineStr">
        <is>
          <t>953761000</t>
        </is>
      </c>
      <c r="B44" s="6" t="inlineStr">
        <is>
          <t>ﾎﾓｹﾞﾝ No.3286</t>
        </is>
      </c>
      <c r="C44" s="6" t="n"/>
      <c r="D44" s="6" t="inlineStr">
        <is>
          <t>kg</t>
        </is>
      </c>
      <c r="E44" s="10" t="n"/>
      <c r="F44" s="6">
        <f>IF($E44="","",IF(EDATE(サマリ!$B$2,1)&gt;$E44,"期限切れ",IF(EDATE(サマリ!$B$2,2)&gt;$E44,"来月期限",IF(EDATE(サマリ!$B$2,3)&gt;$E44,"再来月期限",""))))</f>
        <v/>
      </c>
      <c r="G44" s="6" t="n"/>
      <c r="H44" s="6" t="n"/>
      <c r="I44" s="10" t="n"/>
      <c r="J44" s="6" t="n"/>
      <c r="K44" s="6" t="n"/>
    </row>
    <row r="45">
      <c r="A45" s="6" t="inlineStr">
        <is>
          <t>953762000</t>
        </is>
      </c>
      <c r="B45" s="6" t="inlineStr">
        <is>
          <t>ｺｸﾄｳﾍﾞｰｽ No.20-8518FG</t>
        </is>
      </c>
      <c r="C45" s="6" t="n"/>
      <c r="D45" s="6" t="inlineStr">
        <is>
          <t>kg</t>
        </is>
      </c>
      <c r="E45" s="10" t="n"/>
      <c r="F45" s="6">
        <f>IF($E45="","",IF(EDATE(サマリ!$B$2,1)&gt;$E45,"期限切れ",IF(EDATE(サマリ!$B$2,2)&gt;$E45,"来月期限",IF(EDATE(サマリ!$B$2,3)&gt;$E45,"再来月期限",""))))</f>
        <v/>
      </c>
      <c r="G45" s="6" t="n"/>
      <c r="H45" s="6" t="n"/>
      <c r="I45" s="10" t="n"/>
      <c r="J45" s="6" t="n"/>
      <c r="K45" s="6" t="n"/>
    </row>
    <row r="46">
      <c r="A46" s="6" t="inlineStr">
        <is>
          <t>953764000</t>
        </is>
      </c>
      <c r="B46" s="6" t="inlineStr">
        <is>
          <t>みるくのﾐﾈﾗﾙ L10</t>
        </is>
      </c>
      <c r="C46" s="6" t="n"/>
      <c r="D46" s="6" t="inlineStr">
        <is>
          <t>kg</t>
        </is>
      </c>
      <c r="E46" s="10" t="n"/>
      <c r="F46" s="6">
        <f>IF($E46="","",IF(EDATE(サマリ!$B$2,1)&gt;$E46,"期限切れ",IF(EDATE(サマリ!$B$2,2)&gt;$E46,"来月期限",IF(EDATE(サマリ!$B$2,3)&gt;$E46,"再来月期限",""))))</f>
        <v/>
      </c>
      <c r="G46" s="6" t="n"/>
      <c r="H46" s="6" t="n"/>
      <c r="I46" s="10" t="n"/>
      <c r="J46" s="6" t="n"/>
      <c r="K46" s="6" t="n"/>
    </row>
    <row r="47">
      <c r="A47" s="6" t="inlineStr">
        <is>
          <t>953765000</t>
        </is>
      </c>
      <c r="B47" s="6" t="inlineStr">
        <is>
          <t>ﾌﾞﾗｼﾞﾙﾊｲﾊﾟｰﾛｰｽﾄ TFG22872</t>
        </is>
      </c>
      <c r="C47" s="6" t="n"/>
      <c r="D47" s="6" t="inlineStr">
        <is>
          <t>kg</t>
        </is>
      </c>
      <c r="E47" s="10" t="n"/>
      <c r="F47" s="6">
        <f>IF($E47="","",IF(EDATE(サマリ!$B$2,1)&gt;$E47,"期限切れ",IF(EDATE(サマリ!$B$2,2)&gt;$E47,"来月期限",IF(EDATE(サマリ!$B$2,3)&gt;$E47,"再来月期限",""))))</f>
        <v/>
      </c>
      <c r="G47" s="6" t="n"/>
      <c r="H47" s="6" t="n"/>
      <c r="I47" s="10" t="n"/>
      <c r="J47" s="6" t="n"/>
      <c r="K47" s="6" t="n"/>
    </row>
    <row r="48">
      <c r="A48" s="6" t="inlineStr">
        <is>
          <t>953790000</t>
        </is>
      </c>
      <c r="B48" s="6" t="inlineStr">
        <is>
          <t>ﾎﾓｹﾞﾝ No.3293</t>
        </is>
      </c>
      <c r="C48" s="6" t="n"/>
      <c r="D48" s="6" t="inlineStr">
        <is>
          <t>kg</t>
        </is>
      </c>
      <c r="E48" s="10" t="n"/>
      <c r="F48" s="6">
        <f>IF($E48="","",IF(EDATE(サマリ!$B$2,1)&gt;$E48,"期限切れ",IF(EDATE(サマリ!$B$2,2)&gt;$E48,"来月期限",IF(EDATE(サマリ!$B$2,3)&gt;$E48,"再来月期限",""))))</f>
        <v/>
      </c>
      <c r="G48" s="6" t="n"/>
      <c r="H48" s="6" t="n"/>
      <c r="I48" s="10" t="n"/>
      <c r="J48" s="6" t="n"/>
      <c r="K48" s="6" t="n"/>
    </row>
    <row r="49">
      <c r="A49" s="6" t="inlineStr">
        <is>
          <t>953796000</t>
        </is>
      </c>
      <c r="B49" s="6" t="inlineStr">
        <is>
          <t>ﾐﾙｸﾌﾚｰﾊﾞｰ TFG25944</t>
        </is>
      </c>
      <c r="C49" s="6" t="n"/>
      <c r="D49" s="6" t="inlineStr">
        <is>
          <t>kg</t>
        </is>
      </c>
      <c r="E49" s="10" t="n"/>
      <c r="F49" s="6">
        <f>IF($E49="","",IF(EDATE(サマリ!$B$2,1)&gt;$E49,"期限切れ",IF(EDATE(サマリ!$B$2,2)&gt;$E49,"来月期限",IF(EDATE(サマリ!$B$2,3)&gt;$E49,"再来月期限",""))))</f>
        <v/>
      </c>
      <c r="G49" s="6" t="n"/>
      <c r="H49" s="6" t="n"/>
      <c r="I49" s="10" t="n"/>
      <c r="J49" s="6" t="n"/>
      <c r="K49" s="6" t="n"/>
    </row>
    <row r="50">
      <c r="A50" s="6" t="inlineStr">
        <is>
          <t>953873000</t>
        </is>
      </c>
      <c r="B50" s="6" t="inlineStr">
        <is>
          <t>ﾎﾓｹﾞﾝ No.3299</t>
        </is>
      </c>
      <c r="C50" s="6" t="n"/>
      <c r="D50" s="6" t="inlineStr">
        <is>
          <t>kg</t>
        </is>
      </c>
      <c r="E50" s="10" t="n"/>
      <c r="F50" s="6">
        <f>IF($E50="","",IF(EDATE(サマリ!$B$2,1)&gt;$E50,"期限切れ",IF(EDATE(サマリ!$B$2,2)&gt;$E50,"来月期限",IF(EDATE(サマリ!$B$2,3)&gt;$E50,"再来月期限",""))))</f>
        <v/>
      </c>
      <c r="G50" s="6" t="n"/>
      <c r="H50" s="6" t="n"/>
      <c r="I50" s="10" t="n"/>
      <c r="J50" s="6" t="n"/>
      <c r="K50" s="6" t="n"/>
    </row>
    <row r="51">
      <c r="A51" s="6" t="inlineStr">
        <is>
          <t>953907000</t>
        </is>
      </c>
      <c r="B51" s="6" t="inlineStr">
        <is>
          <t>ｱﾜﾌﾞﾚｰｸ LJ-01</t>
        </is>
      </c>
      <c r="C51" s="6" t="n"/>
      <c r="D51" s="6" t="inlineStr">
        <is>
          <t>kg</t>
        </is>
      </c>
      <c r="E51" s="10" t="n"/>
      <c r="F51" s="6">
        <f>IF($E51="","",IF(EDATE(サマリ!$B$2,1)&gt;$E51,"期限切れ",IF(EDATE(サマリ!$B$2,2)&gt;$E51,"来月期限",IF(EDATE(サマリ!$B$2,3)&gt;$E51,"再来月期限",""))))</f>
        <v/>
      </c>
      <c r="G51" s="6" t="n"/>
      <c r="H51" s="6" t="n"/>
      <c r="I51" s="10" t="n"/>
      <c r="J51" s="6" t="n"/>
      <c r="K51" s="6" t="n"/>
    </row>
    <row r="52">
      <c r="A52" s="6" t="inlineStr">
        <is>
          <t>954852000</t>
        </is>
      </c>
      <c r="B52" s="6" t="inlineStr">
        <is>
          <t>ﾐﾙｸﾌﾚｰﾊﾞｰ MQ-23148</t>
        </is>
      </c>
      <c r="C52" s="6" t="n"/>
      <c r="D52" s="6" t="inlineStr">
        <is>
          <t>kg</t>
        </is>
      </c>
      <c r="E52" s="10" t="n"/>
      <c r="F52" s="6">
        <f>IF($E52="","",IF(EDATE(サマリ!$B$2,1)&gt;$E52,"期限切れ",IF(EDATE(サマリ!$B$2,2)&gt;$E52,"来月期限",IF(EDATE(サマリ!$B$2,3)&gt;$E52,"再来月期限",""))))</f>
        <v/>
      </c>
      <c r="G52" s="6" t="n"/>
      <c r="H52" s="6" t="n"/>
      <c r="I52" s="10" t="n"/>
      <c r="J52" s="6" t="n"/>
      <c r="K52" s="6" t="n"/>
    </row>
    <row r="53">
      <c r="A53" s="6" t="inlineStr">
        <is>
          <t>954853000</t>
        </is>
      </c>
      <c r="B53" s="6" t="inlineStr">
        <is>
          <t>ﾏｯﾁｬﾌﾚｰﾊﾞｰ No.21-9962</t>
        </is>
      </c>
      <c r="C53" s="6" t="n"/>
      <c r="D53" s="6" t="inlineStr">
        <is>
          <t>kg</t>
        </is>
      </c>
      <c r="E53" s="10" t="n"/>
      <c r="F53" s="6">
        <f>IF($E53="","",IF(EDATE(サマリ!$B$2,1)&gt;$E53,"期限切れ",IF(EDATE(サマリ!$B$2,2)&gt;$E53,"来月期限",IF(EDATE(サマリ!$B$2,3)&gt;$E53,"再来月期限",""))))</f>
        <v/>
      </c>
      <c r="G53" s="6" t="n"/>
      <c r="H53" s="6" t="n"/>
      <c r="I53" s="10" t="n"/>
      <c r="J53" s="6" t="n"/>
      <c r="K53" s="6" t="n"/>
    </row>
    <row r="54">
      <c r="A54" s="6" t="inlineStr">
        <is>
          <t>954854000</t>
        </is>
      </c>
      <c r="B54" s="6" t="inlineStr">
        <is>
          <t>ﾐﾙｸﾌﾚｰﾊﾞｰ No.22－0358</t>
        </is>
      </c>
      <c r="C54" s="6" t="n"/>
      <c r="D54" s="6" t="inlineStr">
        <is>
          <t>kg</t>
        </is>
      </c>
      <c r="E54" s="10" t="n"/>
      <c r="F54" s="6">
        <f>IF($E54="","",IF(EDATE(サマリ!$B$2,1)&gt;$E54,"期限切れ",IF(EDATE(サマリ!$B$2,2)&gt;$E54,"来月期限",IF(EDATE(サマリ!$B$2,3)&gt;$E54,"再来月期限",""))))</f>
        <v/>
      </c>
      <c r="G54" s="6" t="n"/>
      <c r="H54" s="6" t="n"/>
      <c r="I54" s="10" t="n"/>
      <c r="J54" s="6" t="n"/>
      <c r="K54" s="6" t="n"/>
    </row>
    <row r="55">
      <c r="A55" s="6" t="inlineStr">
        <is>
          <t>954855000</t>
        </is>
      </c>
      <c r="B55" s="6" t="inlineStr">
        <is>
          <t>ﾎﾓｹﾞﾝNo.3310</t>
        </is>
      </c>
      <c r="C55" s="6" t="n"/>
      <c r="D55" s="6" t="inlineStr">
        <is>
          <t>kg</t>
        </is>
      </c>
      <c r="E55" s="10" t="n"/>
      <c r="F55" s="6">
        <f>IF($E55="","",IF(EDATE(サマリ!$B$2,1)&gt;$E55,"期限切れ",IF(EDATE(サマリ!$B$2,2)&gt;$E55,"来月期限",IF(EDATE(サマリ!$B$2,3)&gt;$E55,"再来月期限",""))))</f>
        <v/>
      </c>
      <c r="G55" s="6" t="n"/>
      <c r="H55" s="6" t="n"/>
      <c r="I55" s="10" t="n"/>
      <c r="J55" s="6" t="n"/>
      <c r="K55" s="6" t="n"/>
    </row>
    <row r="56">
      <c r="A56" s="6" t="inlineStr">
        <is>
          <t>954856000</t>
        </is>
      </c>
      <c r="B56" s="6" t="inlineStr">
        <is>
          <t>黒糖ﾌﾚｰﾊﾞｰ CU-53733</t>
        </is>
      </c>
      <c r="C56" s="6" t="n"/>
      <c r="D56" s="6" t="inlineStr">
        <is>
          <t>kg</t>
        </is>
      </c>
      <c r="E56" s="10" t="n"/>
      <c r="F56" s="6">
        <f>IF($E56="","",IF(EDATE(サマリ!$B$2,1)&gt;$E56,"期限切れ",IF(EDATE(サマリ!$B$2,2)&gt;$E56,"来月期限",IF(EDATE(サマリ!$B$2,3)&gt;$E56,"再来月期限",""))))</f>
        <v/>
      </c>
      <c r="G56" s="6" t="n"/>
      <c r="H56" s="6" t="n"/>
      <c r="I56" s="10" t="n"/>
      <c r="J56" s="6" t="n"/>
      <c r="K56" s="6" t="n"/>
    </row>
    <row r="57">
      <c r="A57" s="6" t="inlineStr">
        <is>
          <t>954857000</t>
        </is>
      </c>
      <c r="B57" s="6" t="inlineStr">
        <is>
          <t>ﾐﾙｸﾌﾚｰﾊﾞｰ No.6-18300</t>
        </is>
      </c>
      <c r="C57" s="6" t="n"/>
      <c r="D57" s="6" t="inlineStr">
        <is>
          <t>kg</t>
        </is>
      </c>
      <c r="E57" s="10" t="n"/>
      <c r="F57" s="6">
        <f>IF($E57="","",IF(EDATE(サマリ!$B$2,1)&gt;$E57,"期限切れ",IF(EDATE(サマリ!$B$2,2)&gt;$E57,"来月期限",IF(EDATE(サマリ!$B$2,3)&gt;$E57,"再来月期限",""))))</f>
        <v/>
      </c>
      <c r="G57" s="6" t="n"/>
      <c r="H57" s="6" t="n"/>
      <c r="I57" s="10" t="n"/>
      <c r="J57" s="6" t="n"/>
      <c r="K57" s="6" t="n"/>
    </row>
    <row r="58">
      <c r="A58" s="6" t="inlineStr">
        <is>
          <t>954863000</t>
        </is>
      </c>
      <c r="B58" s="6" t="inlineStr">
        <is>
          <t>ﾌｧｯﾄﾃｰｽﾄ ｴﾝﾊﾝｻｰ TAS-2780</t>
        </is>
      </c>
      <c r="C58" s="6" t="n"/>
      <c r="D58" s="6" t="inlineStr">
        <is>
          <t>kg</t>
        </is>
      </c>
      <c r="E58" s="10" t="n"/>
      <c r="F58" s="6">
        <f>IF($E58="","",IF(EDATE(サマリ!$B$2,1)&gt;$E58,"期限切れ",IF(EDATE(サマリ!$B$2,2)&gt;$E58,"来月期限",IF(EDATE(サマリ!$B$2,3)&gt;$E58,"再来月期限",""))))</f>
        <v/>
      </c>
      <c r="G58" s="6" t="n"/>
      <c r="H58" s="6" t="n"/>
      <c r="I58" s="10" t="n"/>
      <c r="J58" s="6" t="n"/>
      <c r="K58" s="6" t="n"/>
    </row>
    <row r="59">
      <c r="A59" s="6" t="inlineStr">
        <is>
          <t>955320000</t>
        </is>
      </c>
      <c r="B59" s="6" t="inlineStr">
        <is>
          <t>ﾐﾙﾚｱUS2 （900Kg)</t>
        </is>
      </c>
      <c r="C59" s="6" t="n"/>
      <c r="D59" s="6" t="inlineStr">
        <is>
          <t>kg</t>
        </is>
      </c>
      <c r="E59" s="10" t="n"/>
      <c r="F59" s="6">
        <f>IF($E59="","",IF(EDATE(サマリ!$B$2,1)&gt;$E59,"期限切れ",IF(EDATE(サマリ!$B$2,2)&gt;$E59,"来月期限",IF(EDATE(サマリ!$B$2,3)&gt;$E59,"再来月期限",""))))</f>
        <v/>
      </c>
      <c r="G59" s="6" t="n"/>
      <c r="H59" s="6" t="n"/>
      <c r="I59" s="10" t="n"/>
      <c r="J59" s="6" t="n"/>
      <c r="K59" s="6" t="n"/>
    </row>
    <row r="60">
      <c r="A60" s="6" t="inlineStr">
        <is>
          <t>960391000</t>
        </is>
      </c>
      <c r="B60" s="6" t="inlineStr">
        <is>
          <t>ﾐﾙｸﾍﾞｰｽ No.6028FA(P)</t>
        </is>
      </c>
      <c r="C60" s="6" t="n"/>
      <c r="D60" s="6" t="inlineStr">
        <is>
          <t>kg</t>
        </is>
      </c>
      <c r="E60" s="10" t="n"/>
      <c r="F60" s="6">
        <f>IF($E60="","",IF(EDATE(サマリ!$B$2,1)&gt;$E60,"期限切れ",IF(EDATE(サマリ!$B$2,2)&gt;$E60,"来月期限",IF(EDATE(サマリ!$B$2,3)&gt;$E60,"再来月期限",""))))</f>
        <v/>
      </c>
      <c r="G60" s="6" t="n"/>
      <c r="H60" s="6" t="n"/>
      <c r="I60" s="10" t="n"/>
      <c r="J60" s="6" t="n"/>
      <c r="K60" s="6" t="n"/>
    </row>
    <row r="61">
      <c r="A61" s="6" t="inlineStr">
        <is>
          <t>960784000</t>
        </is>
      </c>
      <c r="B61" s="6" t="inlineStr">
        <is>
          <t>殺菌宇治抹茶D</t>
        </is>
      </c>
      <c r="C61" s="6" t="n"/>
      <c r="D61" s="6" t="inlineStr">
        <is>
          <t>kg</t>
        </is>
      </c>
      <c r="E61" s="10" t="n"/>
      <c r="F61" s="6">
        <f>IF($E61="","",IF(EDATE(サマリ!$B$2,1)&gt;$E61,"期限切れ",IF(EDATE(サマリ!$B$2,2)&gt;$E61,"来月期限",IF(EDATE(サマリ!$B$2,3)&gt;$E61,"再来月期限",""))))</f>
        <v/>
      </c>
      <c r="G61" s="6" t="n"/>
      <c r="H61" s="6" t="n"/>
      <c r="I61" s="10" t="n"/>
      <c r="J61" s="6" t="n"/>
      <c r="K61" s="6" t="n"/>
    </row>
    <row r="62">
      <c r="A62" s="6" t="inlineStr">
        <is>
          <t>961236000</t>
        </is>
      </c>
      <c r="B62" s="6" t="inlineStr">
        <is>
          <t>ｺｰﾋｰﾌﾚｰﾊﾞｰ No.21-3127</t>
        </is>
      </c>
      <c r="C62" s="6" t="n"/>
      <c r="D62" s="6" t="inlineStr">
        <is>
          <t>kg</t>
        </is>
      </c>
      <c r="E62" s="10" t="n"/>
      <c r="F62" s="6">
        <f>IF($E62="","",IF(EDATE(サマリ!$B$2,1)&gt;$E62,"期限切れ",IF(EDATE(サマリ!$B$2,2)&gt;$E62,"来月期限",IF(EDATE(サマリ!$B$2,3)&gt;$E62,"再来月期限",""))))</f>
        <v/>
      </c>
      <c r="G62" s="6" t="n"/>
      <c r="H62" s="6" t="n"/>
      <c r="I62" s="10" t="n"/>
      <c r="J62" s="6" t="n"/>
      <c r="K62" s="6" t="n"/>
    </row>
    <row r="63">
      <c r="A63" s="6" t="inlineStr">
        <is>
          <t>961274000</t>
        </is>
      </c>
      <c r="B63" s="6" t="inlineStr">
        <is>
          <t>ﾐﾙｸﾌﾚｰﾊﾞｰ TFH28514</t>
        </is>
      </c>
      <c r="C63" s="6" t="n"/>
      <c r="D63" s="6" t="inlineStr">
        <is>
          <t>kg</t>
        </is>
      </c>
      <c r="E63" s="10" t="n"/>
      <c r="F63" s="6">
        <f>IF($E63="","",IF(EDATE(サマリ!$B$2,1)&gt;$E63,"期限切れ",IF(EDATE(サマリ!$B$2,2)&gt;$E63,"来月期限",IF(EDATE(サマリ!$B$2,3)&gt;$E63,"再来月期限",""))))</f>
        <v/>
      </c>
      <c r="G63" s="6" t="n"/>
      <c r="H63" s="6" t="n"/>
      <c r="I63" s="10" t="n"/>
      <c r="J63" s="6" t="n"/>
      <c r="K63" s="6" t="n"/>
    </row>
    <row r="64">
      <c r="A64" s="6" t="inlineStr">
        <is>
          <t>961275000</t>
        </is>
      </c>
      <c r="B64" s="6" t="inlineStr">
        <is>
          <t>玉露フレーバー OFE48109</t>
        </is>
      </c>
      <c r="C64" s="6" t="n"/>
      <c r="D64" s="6" t="inlineStr">
        <is>
          <t>kg</t>
        </is>
      </c>
      <c r="E64" s="10" t="n"/>
      <c r="F64" s="6">
        <f>IF($E64="","",IF(EDATE(サマリ!$B$2,1)&gt;$E64,"期限切れ",IF(EDATE(サマリ!$B$2,2)&gt;$E64,"来月期限",IF(EDATE(サマリ!$B$2,3)&gt;$E64,"再来月期限",""))))</f>
        <v/>
      </c>
      <c r="G64" s="6" t="n"/>
      <c r="H64" s="6" t="n"/>
      <c r="I64" s="10" t="n"/>
      <c r="J64" s="6" t="n"/>
      <c r="K64" s="6" t="n"/>
    </row>
    <row r="65">
      <c r="A65" s="6" t="inlineStr">
        <is>
          <t>961509000</t>
        </is>
      </c>
      <c r="B65" s="6" t="inlineStr">
        <is>
          <t>ﾎﾓｹﾞﾝ No.718(D)</t>
        </is>
      </c>
      <c r="C65" s="6" t="n"/>
      <c r="D65" s="6" t="inlineStr">
        <is>
          <t>kg</t>
        </is>
      </c>
      <c r="E65" s="10" t="n"/>
      <c r="F65" s="6">
        <f>IF($E65="","",IF(EDATE(サマリ!$B$2,1)&gt;$E65,"期限切れ",IF(EDATE(サマリ!$B$2,2)&gt;$E65,"来月期限",IF(EDATE(サマリ!$B$2,3)&gt;$E65,"再来月期限",""))))</f>
        <v/>
      </c>
      <c r="G65" s="6" t="n"/>
      <c r="H65" s="6" t="n"/>
      <c r="I65" s="10" t="n"/>
      <c r="J65" s="6" t="n"/>
      <c r="K65" s="6" t="n"/>
    </row>
    <row r="66">
      <c r="A66" s="6" t="inlineStr">
        <is>
          <t>961561000</t>
        </is>
      </c>
      <c r="B66" s="6" t="inlineStr">
        <is>
          <t>ｸﾘｰﾑﾌﾚｰﾊﾞｰ TFJ24709</t>
        </is>
      </c>
      <c r="C66" s="6" t="n"/>
      <c r="D66" s="6" t="inlineStr">
        <is>
          <t>kg</t>
        </is>
      </c>
      <c r="E66" s="10" t="n"/>
      <c r="F66" s="6">
        <f>IF($E66="","",IF(EDATE(サマリ!$B$2,1)&gt;$E66,"期限切れ",IF(EDATE(サマリ!$B$2,2)&gt;$E66,"来月期限",IF(EDATE(サマリ!$B$2,3)&gt;$E66,"再来月期限",""))))</f>
        <v/>
      </c>
      <c r="G66" s="6" t="n"/>
      <c r="H66" s="6" t="n"/>
      <c r="I66" s="10" t="n"/>
      <c r="J66" s="6" t="n"/>
      <c r="K66" s="6" t="n"/>
    </row>
    <row r="67">
      <c r="A67" s="6" t="inlineStr">
        <is>
          <t>961946000</t>
        </is>
      </c>
      <c r="B67" s="6" t="inlineStr">
        <is>
          <t>ﾌｧｲﾊﾞｰｿﾙ2</t>
        </is>
      </c>
      <c r="C67" s="6" t="n"/>
      <c r="D67" s="6" t="inlineStr">
        <is>
          <t>kg</t>
        </is>
      </c>
      <c r="E67" s="10" t="n"/>
      <c r="F67" s="6">
        <f>IF($E67="","",IF(EDATE(サマリ!$B$2,1)&gt;$E67,"期限切れ",IF(EDATE(サマリ!$B$2,2)&gt;$E67,"来月期限",IF(EDATE(サマリ!$B$2,3)&gt;$E67,"再来月期限",""))))</f>
        <v/>
      </c>
      <c r="G67" s="6" t="n"/>
      <c r="H67" s="6" t="n"/>
      <c r="I67" s="10" t="n"/>
      <c r="J67" s="6" t="n"/>
      <c r="K67" s="6" t="n"/>
    </row>
    <row r="68">
      <c r="A68" s="6" t="inlineStr">
        <is>
          <t>961973000</t>
        </is>
      </c>
      <c r="B68" s="6" t="inlineStr">
        <is>
          <t>ﾐﾙｸﾌﾚｰﾊﾞｰ SW-22500</t>
        </is>
      </c>
      <c r="C68" s="6" t="n"/>
      <c r="D68" s="6" t="inlineStr">
        <is>
          <t>kg</t>
        </is>
      </c>
      <c r="E68" s="10" t="n"/>
      <c r="F68" s="6">
        <f>IF($E68="","",IF(EDATE(サマリ!$B$2,1)&gt;$E68,"期限切れ",IF(EDATE(サマリ!$B$2,2)&gt;$E68,"来月期限",IF(EDATE(サマリ!$B$2,3)&gt;$E68,"再来月期限",""))))</f>
        <v/>
      </c>
      <c r="G68" s="6" t="n"/>
      <c r="H68" s="6" t="n"/>
      <c r="I68" s="10" t="n"/>
      <c r="J68" s="6" t="n"/>
      <c r="K68" s="6" t="n"/>
    </row>
    <row r="69">
      <c r="A69" s="6" t="inlineStr">
        <is>
          <t>961974000</t>
        </is>
      </c>
      <c r="B69" s="6" t="inlineStr">
        <is>
          <t>ﾐﾙｸﾌﾚｰﾊﾞｰ BT-25738</t>
        </is>
      </c>
      <c r="C69" s="6" t="n"/>
      <c r="D69" s="6" t="inlineStr">
        <is>
          <t>kg</t>
        </is>
      </c>
      <c r="E69" s="10" t="n"/>
      <c r="F69" s="6">
        <f>IF($E69="","",IF(EDATE(サマリ!$B$2,1)&gt;$E69,"期限切れ",IF(EDATE(サマリ!$B$2,2)&gt;$E69,"来月期限",IF(EDATE(サマリ!$B$2,3)&gt;$E69,"再来月期限",""))))</f>
        <v/>
      </c>
      <c r="G69" s="6" t="n"/>
      <c r="H69" s="6" t="n"/>
      <c r="I69" s="10" t="n"/>
      <c r="J69" s="6" t="n"/>
      <c r="K69" s="6" t="n"/>
    </row>
    <row r="70">
      <c r="A70" s="6" t="inlineStr">
        <is>
          <t>961975000</t>
        </is>
      </c>
      <c r="B70" s="6" t="inlineStr">
        <is>
          <t>ｺｰﾋｰﾌﾚｰﾊﾞｰ OFG43403</t>
        </is>
      </c>
      <c r="C70" s="6" t="n"/>
      <c r="D70" s="6" t="inlineStr">
        <is>
          <t>kg</t>
        </is>
      </c>
      <c r="E70" s="10" t="n"/>
      <c r="F70" s="6">
        <f>IF($E70="","",IF(EDATE(サマリ!$B$2,1)&gt;$E70,"期限切れ",IF(EDATE(サマリ!$B$2,2)&gt;$E70,"来月期限",IF(EDATE(サマリ!$B$2,3)&gt;$E70,"再来月期限",""))))</f>
        <v/>
      </c>
      <c r="G70" s="6" t="n"/>
      <c r="H70" s="6" t="n"/>
      <c r="I70" s="10" t="n"/>
      <c r="J70" s="6" t="n"/>
      <c r="K70" s="6" t="n"/>
    </row>
    <row r="71">
      <c r="A71" s="6" t="inlineStr">
        <is>
          <t>961976000</t>
        </is>
      </c>
      <c r="B71" s="6" t="inlineStr">
        <is>
          <t>ﾌｧｯﾄﾃｰｽﾄ ｴﾝﾊﾝｻｰ TAS-5293</t>
        </is>
      </c>
      <c r="C71" s="6" t="n"/>
      <c r="D71" s="6" t="inlineStr">
        <is>
          <t>kg</t>
        </is>
      </c>
      <c r="E71" s="10" t="n"/>
      <c r="F71" s="6">
        <f>IF($E71="","",IF(EDATE(サマリ!$B$2,1)&gt;$E71,"期限切れ",IF(EDATE(サマリ!$B$2,2)&gt;$E71,"来月期限",IF(EDATE(サマリ!$B$2,3)&gt;$E71,"再来月期限",""))))</f>
        <v/>
      </c>
      <c r="G71" s="6" t="n"/>
      <c r="H71" s="6" t="n"/>
      <c r="I71" s="10" t="n"/>
      <c r="J71" s="6" t="n"/>
      <c r="K71" s="6" t="n"/>
    </row>
    <row r="72">
      <c r="A72" s="6" t="inlineStr">
        <is>
          <t>961984000</t>
        </is>
      </c>
      <c r="B72" s="6" t="inlineStr">
        <is>
          <t>ｺｰﾋｰ豆加工品 UC-2B</t>
        </is>
      </c>
      <c r="C72" s="6" t="n"/>
      <c r="D72" s="6" t="inlineStr">
        <is>
          <t>kg</t>
        </is>
      </c>
      <c r="E72" s="10" t="n"/>
      <c r="F72" s="6">
        <f>IF($E72="","",IF(EDATE(サマリ!$B$2,1)&gt;$E72,"期限切れ",IF(EDATE(サマリ!$B$2,2)&gt;$E72,"来月期限",IF(EDATE(サマリ!$B$2,3)&gt;$E72,"再来月期限",""))))</f>
        <v/>
      </c>
      <c r="G72" s="6" t="n"/>
      <c r="H72" s="6" t="n"/>
      <c r="I72" s="10" t="n"/>
      <c r="J72" s="6" t="n"/>
      <c r="K72" s="6" t="n"/>
    </row>
    <row r="73">
      <c r="A73" s="6" t="inlineStr">
        <is>
          <t>962291000</t>
        </is>
      </c>
      <c r="B73" s="6" t="inlineStr">
        <is>
          <t>黒糖焦がし D-2</t>
        </is>
      </c>
      <c r="C73" s="6" t="n"/>
      <c r="D73" s="6" t="inlineStr">
        <is>
          <t>kg</t>
        </is>
      </c>
      <c r="E73" s="10" t="n"/>
      <c r="F73" s="6">
        <f>IF($E73="","",IF(EDATE(サマリ!$B$2,1)&gt;$E73,"期限切れ",IF(EDATE(サマリ!$B$2,2)&gt;$E73,"来月期限",IF(EDATE(サマリ!$B$2,3)&gt;$E73,"再来月期限",""))))</f>
        <v/>
      </c>
      <c r="G73" s="6" t="n"/>
      <c r="H73" s="6" t="n"/>
      <c r="I73" s="10" t="n"/>
      <c r="J73" s="6" t="n"/>
      <c r="K73" s="6" t="n"/>
    </row>
    <row r="74">
      <c r="A74" s="6" t="inlineStr">
        <is>
          <t>962450000</t>
        </is>
      </c>
      <c r="B74" s="6" t="inlineStr">
        <is>
          <t>料理用焙焦糖</t>
        </is>
      </c>
      <c r="C74" s="6" t="n"/>
      <c r="D74" s="6" t="inlineStr">
        <is>
          <t>kg</t>
        </is>
      </c>
      <c r="E74" s="10" t="n"/>
      <c r="F74" s="6">
        <f>IF($E74="","",IF(EDATE(サマリ!$B$2,1)&gt;$E74,"期限切れ",IF(EDATE(サマリ!$B$2,2)&gt;$E74,"来月期限",IF(EDATE(サマリ!$B$2,3)&gt;$E74,"再来月期限",""))))</f>
        <v/>
      </c>
      <c r="G74" s="6" t="n"/>
      <c r="H74" s="6" t="n"/>
      <c r="I74" s="10" t="n"/>
      <c r="J74" s="6" t="n"/>
      <c r="K74" s="6" t="n"/>
    </row>
    <row r="75">
      <c r="A75" s="6" t="inlineStr">
        <is>
          <t>962451000</t>
        </is>
      </c>
      <c r="B75" s="6" t="inlineStr">
        <is>
          <t>ミルクフレーバー OFG46999</t>
        </is>
      </c>
      <c r="C75" s="6" t="n"/>
      <c r="D75" s="6" t="inlineStr">
        <is>
          <t>kg</t>
        </is>
      </c>
      <c r="E75" s="10" t="n"/>
      <c r="F75" s="6">
        <f>IF($E75="","",IF(EDATE(サマリ!$B$2,1)&gt;$E75,"期限切れ",IF(EDATE(サマリ!$B$2,2)&gt;$E75,"来月期限",IF(EDATE(サマリ!$B$2,3)&gt;$E75,"再来月期限",""))))</f>
        <v/>
      </c>
      <c r="G75" s="6" t="n"/>
      <c r="H75" s="6" t="n"/>
      <c r="I75" s="10" t="n"/>
      <c r="J75" s="6" t="n"/>
      <c r="K75" s="6" t="n"/>
    </row>
    <row r="76">
      <c r="A76" s="6" t="inlineStr">
        <is>
          <t>962457000</t>
        </is>
      </c>
      <c r="B76" s="6" t="inlineStr">
        <is>
          <t>黒蜜UBS</t>
        </is>
      </c>
      <c r="C76" s="6" t="n"/>
      <c r="D76" s="6" t="inlineStr">
        <is>
          <t>kg</t>
        </is>
      </c>
      <c r="E76" s="10" t="n"/>
      <c r="F76" s="6">
        <f>IF($E76="","",IF(EDATE(サマリ!$B$2,1)&gt;$E76,"期限切れ",IF(EDATE(サマリ!$B$2,2)&gt;$E76,"来月期限",IF(EDATE(サマリ!$B$2,3)&gt;$E76,"再来月期限",""))))</f>
        <v/>
      </c>
      <c r="G76" s="6" t="n"/>
      <c r="H76" s="6" t="n"/>
      <c r="I76" s="10" t="n"/>
      <c r="J76" s="6" t="n"/>
      <c r="K76" s="6" t="n"/>
    </row>
    <row r="77">
      <c r="A77" s="6" t="inlineStr">
        <is>
          <t>962682000</t>
        </is>
      </c>
      <c r="B77" s="6" t="inlineStr">
        <is>
          <t>ミライMC80</t>
        </is>
      </c>
      <c r="C77" s="6" t="n"/>
      <c r="D77" s="6" t="inlineStr">
        <is>
          <t>kg</t>
        </is>
      </c>
      <c r="E77" s="10" t="n"/>
      <c r="F77" s="6">
        <f>IF($E77="","",IF(EDATE(サマリ!$B$2,1)&gt;$E77,"期限切れ",IF(EDATE(サマリ!$B$2,2)&gt;$E77,"来月期限",IF(EDATE(サマリ!$B$2,3)&gt;$E77,"再来月期限",""))))</f>
        <v/>
      </c>
      <c r="G77" s="6" t="n"/>
      <c r="H77" s="6" t="n"/>
      <c r="I77" s="10" t="n"/>
      <c r="J77" s="6" t="n"/>
      <c r="K77" s="6" t="n"/>
    </row>
    <row r="78">
      <c r="A78" s="6" t="inlineStr">
        <is>
          <t>962683000</t>
        </is>
      </c>
      <c r="B78" s="6" t="inlineStr">
        <is>
          <t>VIVAクリーミー45</t>
        </is>
      </c>
      <c r="C78" s="6" t="n"/>
      <c r="D78" s="6" t="inlineStr">
        <is>
          <t>kg</t>
        </is>
      </c>
      <c r="E78" s="10" t="n"/>
      <c r="F78" s="6">
        <f>IF($E78="","",IF(EDATE(サマリ!$B$2,1)&gt;$E78,"期限切れ",IF(EDATE(サマリ!$B$2,2)&gt;$E78,"来月期限",IF(EDATE(サマリ!$B$2,3)&gt;$E78,"再来月期限",""))))</f>
        <v/>
      </c>
      <c r="G78" s="6" t="n"/>
      <c r="H78" s="6" t="n"/>
      <c r="I78" s="10" t="n"/>
      <c r="J78" s="6" t="n"/>
      <c r="K78" s="6" t="n"/>
    </row>
    <row r="79">
      <c r="A79" s="6" t="inlineStr">
        <is>
          <t>962684000</t>
        </is>
      </c>
      <c r="B79" s="6" t="inlineStr">
        <is>
          <t>ｺｰﾋｰﾌﾚｰﾊﾞｰ TFK28814</t>
        </is>
      </c>
      <c r="C79" s="6" t="n"/>
      <c r="D79" s="6" t="inlineStr">
        <is>
          <t>kg</t>
        </is>
      </c>
      <c r="E79" s="10" t="n"/>
      <c r="F79" s="6">
        <f>IF($E79="","",IF(EDATE(サマリ!$B$2,1)&gt;$E79,"期限切れ",IF(EDATE(サマリ!$B$2,2)&gt;$E79,"来月期限",IF(EDATE(サマリ!$B$2,3)&gt;$E79,"再来月期限",""))))</f>
        <v/>
      </c>
      <c r="G79" s="6" t="n"/>
      <c r="H79" s="6" t="n"/>
      <c r="I79" s="10" t="n"/>
      <c r="J79" s="6" t="n"/>
      <c r="K79" s="6" t="n"/>
    </row>
    <row r="80">
      <c r="A80" s="6" t="inlineStr">
        <is>
          <t>962685000</t>
        </is>
      </c>
      <c r="B80" s="6" t="inlineStr">
        <is>
          <t>ﾐﾙｸﾌﾚｰﾊﾞｰ No.6-21088</t>
        </is>
      </c>
      <c r="C80" s="6" t="n"/>
      <c r="D80" s="6" t="inlineStr">
        <is>
          <t>kg</t>
        </is>
      </c>
      <c r="E80" s="10" t="n"/>
      <c r="F80" s="6">
        <f>IF($E80="","",IF(EDATE(サマリ!$B$2,1)&gt;$E80,"期限切れ",IF(EDATE(サマリ!$B$2,2)&gt;$E80,"来月期限",IF(EDATE(サマリ!$B$2,3)&gt;$E80,"再来月期限",""))))</f>
        <v/>
      </c>
      <c r="G80" s="6" t="n"/>
      <c r="H80" s="6" t="n"/>
      <c r="I80" s="10" t="n"/>
      <c r="J80" s="6" t="n"/>
      <c r="K80" s="6" t="n"/>
    </row>
    <row r="81">
      <c r="A81" s="6" t="inlineStr">
        <is>
          <t>962983000</t>
        </is>
      </c>
      <c r="B81" s="6" t="inlineStr">
        <is>
          <t>コーヒーフレーバ TFK28756</t>
        </is>
      </c>
      <c r="C81" s="6" t="n"/>
      <c r="D81" s="6" t="inlineStr">
        <is>
          <t>kg</t>
        </is>
      </c>
      <c r="E81" s="10" t="n"/>
      <c r="F81" s="6">
        <f>IF($E81="","",IF(EDATE(サマリ!$B$2,1)&gt;$E81,"期限切れ",IF(EDATE(サマリ!$B$2,2)&gt;$E81,"来月期限",IF(EDATE(サマリ!$B$2,3)&gt;$E81,"再来月期限",""))))</f>
        <v/>
      </c>
      <c r="G81" s="6" t="n"/>
      <c r="H81" s="6" t="n"/>
      <c r="I81" s="10" t="n"/>
      <c r="J81" s="6" t="n"/>
      <c r="K81" s="6" t="n"/>
    </row>
    <row r="82">
      <c r="A82" s="6" t="inlineStr">
        <is>
          <t>962984000</t>
        </is>
      </c>
      <c r="B82" s="6" t="inlineStr">
        <is>
          <t>コーヒーフレーバーTFK28760</t>
        </is>
      </c>
      <c r="C82" s="6" t="n"/>
      <c r="D82" s="6" t="inlineStr">
        <is>
          <t>kg</t>
        </is>
      </c>
      <c r="E82" s="10" t="n"/>
      <c r="F82" s="6">
        <f>IF($E82="","",IF(EDATE(サマリ!$B$2,1)&gt;$E82,"期限切れ",IF(EDATE(サマリ!$B$2,2)&gt;$E82,"来月期限",IF(EDATE(サマリ!$B$2,3)&gt;$E82,"再来月期限",""))))</f>
        <v/>
      </c>
      <c r="G82" s="6" t="n"/>
      <c r="H82" s="6" t="n"/>
      <c r="I82" s="10" t="n"/>
      <c r="J82" s="6" t="n"/>
      <c r="K82" s="6" t="n"/>
    </row>
    <row r="83">
      <c r="A83" s="6" t="inlineStr">
        <is>
          <t>962985000</t>
        </is>
      </c>
      <c r="B83" s="6" t="inlineStr">
        <is>
          <t>練乳フレーバー OFH42516</t>
        </is>
      </c>
      <c r="C83" s="6" t="n"/>
      <c r="D83" s="6" t="inlineStr">
        <is>
          <t>kg</t>
        </is>
      </c>
      <c r="E83" s="10" t="n"/>
      <c r="F83" s="6">
        <f>IF($E83="","",IF(EDATE(サマリ!$B$2,1)&gt;$E83,"期限切れ",IF(EDATE(サマリ!$B$2,2)&gt;$E83,"来月期限",IF(EDATE(サマリ!$B$2,3)&gt;$E83,"再来月期限",""))))</f>
        <v/>
      </c>
      <c r="G83" s="6" t="n"/>
      <c r="H83" s="6" t="n"/>
      <c r="I83" s="10" t="n"/>
      <c r="J83" s="6" t="n"/>
      <c r="K83" s="6" t="n"/>
    </row>
    <row r="84">
      <c r="A84" s="6" t="inlineStr">
        <is>
          <t>962986000</t>
        </is>
      </c>
      <c r="B84" s="6" t="inlineStr">
        <is>
          <t>生クリームフレーバー OFH42260</t>
        </is>
      </c>
      <c r="C84" s="6" t="n"/>
      <c r="D84" s="6" t="inlineStr">
        <is>
          <t>kg</t>
        </is>
      </c>
      <c r="E84" s="10" t="n"/>
      <c r="F84" s="6">
        <f>IF($E84="","",IF(EDATE(サマリ!$B$2,1)&gt;$E84,"期限切れ",IF(EDATE(サマリ!$B$2,2)&gt;$E84,"来月期限",IF(EDATE(サマリ!$B$2,3)&gt;$E84,"再来月期限",""))))</f>
        <v/>
      </c>
      <c r="G84" s="6" t="n"/>
      <c r="H84" s="6" t="n"/>
      <c r="I84" s="10" t="n"/>
      <c r="J84" s="6" t="n"/>
      <c r="K84" s="6" t="n"/>
    </row>
    <row r="85">
      <c r="A85" s="6" t="inlineStr">
        <is>
          <t>962989000</t>
        </is>
      </c>
      <c r="B85" s="6" t="inlineStr">
        <is>
          <t>加糖練乳</t>
        </is>
      </c>
      <c r="C85" s="6" t="n"/>
      <c r="D85" s="6" t="inlineStr">
        <is>
          <t>kg</t>
        </is>
      </c>
      <c r="E85" s="10" t="n"/>
      <c r="F85" s="6">
        <f>IF($E85="","",IF(EDATE(サマリ!$B$2,1)&gt;$E85,"期限切れ",IF(EDATE(サマリ!$B$2,2)&gt;$E85,"来月期限",IF(EDATE(サマリ!$B$2,3)&gt;$E85,"再来月期限",""))))</f>
        <v/>
      </c>
      <c r="G85" s="6" t="n"/>
      <c r="H85" s="6" t="n"/>
      <c r="I85" s="10" t="n"/>
      <c r="J85" s="6" t="n"/>
      <c r="K85" s="6" t="n"/>
    </row>
    <row r="86">
      <c r="A86" s="6" t="inlineStr"/>
      <c r="B86" s="6" t="inlineStr">
        <is>
          <t>ホモゲンNO.3388 (テスト)</t>
        </is>
      </c>
      <c r="C86" s="6" t="n"/>
      <c r="D86" s="6" t="inlineStr">
        <is>
          <t>kg</t>
        </is>
      </c>
      <c r="E86" s="10" t="n"/>
      <c r="F86" s="6">
        <f>IF($E86="","",IF(EDATE(サマリ!$B$2,1)&gt;$E86,"期限切れ",IF(EDATE(サマリ!$B$2,2)&gt;$E86,"来月期限",IF(EDATE(サマリ!$B$2,3)&gt;$E86,"再来月期限",""))))</f>
        <v/>
      </c>
      <c r="G86" s="6" t="n"/>
      <c r="H86" s="6" t="n"/>
      <c r="I86" s="10" t="n"/>
      <c r="J86" s="6" t="n"/>
      <c r="K86" s="6" t="n"/>
    </row>
    <row r="87">
      <c r="A87" s="6" t="inlineStr"/>
      <c r="B87" s="6" t="inlineStr">
        <is>
          <t>ホモゲンNO.3395 (テスト)</t>
        </is>
      </c>
      <c r="C87" s="6" t="n"/>
      <c r="D87" s="6" t="inlineStr">
        <is>
          <t>kg</t>
        </is>
      </c>
      <c r="E87" s="10" t="n"/>
      <c r="F87" s="6">
        <f>IF($E87="","",IF(EDATE(サマリ!$B$2,1)&gt;$E87,"期限切れ",IF(EDATE(サマリ!$B$2,2)&gt;$E87,"来月期限",IF(EDATE(サマリ!$B$2,3)&gt;$E87,"再来月期限",""))))</f>
        <v/>
      </c>
      <c r="G87" s="6" t="n"/>
      <c r="H87" s="6" t="n"/>
      <c r="I87" s="10" t="n"/>
      <c r="J87" s="6" t="n"/>
      <c r="K87" s="6" t="n"/>
    </row>
    <row r="88">
      <c r="A88" s="6" t="inlineStr"/>
      <c r="B88" s="6" t="inlineStr">
        <is>
          <t>ｻﾝｴｱｰ S－30</t>
        </is>
      </c>
      <c r="C88" s="6" t="n"/>
      <c r="D88" s="6" t="inlineStr">
        <is>
          <t>kg</t>
        </is>
      </c>
      <c r="E88" s="10" t="n"/>
      <c r="F88" s="6">
        <f>IF($E88="","",IF(EDATE(サマリ!$B$2,1)&gt;$E88,"期限切れ",IF(EDATE(サマリ!$B$2,2)&gt;$E88,"来月期限",IF(EDATE(サマリ!$B$2,3)&gt;$E88,"再来月期限",""))))</f>
        <v/>
      </c>
      <c r="G88" s="6" t="n"/>
      <c r="H88" s="6" t="n"/>
      <c r="I88" s="10" t="n"/>
      <c r="J88" s="6" t="n"/>
      <c r="K88" s="6" t="n"/>
    </row>
    <row r="89">
      <c r="A89" s="6" t="inlineStr"/>
      <c r="B89" s="6" t="inlineStr">
        <is>
          <t>ﾐﾙｸﾌﾚｰﾊﾞｰ OFH45811</t>
        </is>
      </c>
      <c r="C89" s="6" t="n"/>
      <c r="D89" s="6" t="inlineStr">
        <is>
          <t>kg</t>
        </is>
      </c>
      <c r="E89" s="10" t="n"/>
      <c r="F89" s="6">
        <f>IF($E89="","",IF(EDATE(サマリ!$B$2,1)&gt;$E89,"期限切れ",IF(EDATE(サマリ!$B$2,2)&gt;$E89,"来月期限",IF(EDATE(サマリ!$B$2,3)&gt;$E89,"再来月期限",""))))</f>
        <v/>
      </c>
      <c r="G89" s="6" t="n"/>
      <c r="H89" s="6" t="n"/>
      <c r="I89" s="10" t="n"/>
      <c r="J89" s="6" t="n"/>
      <c r="K89" s="6" t="n"/>
    </row>
    <row r="90">
      <c r="A90" s="6" t="inlineStr"/>
      <c r="B90" s="6" t="inlineStr">
        <is>
          <t>ﾘｮｰﾄｰｼｭｶﾞｰｴｽﾃﾙ S-470</t>
        </is>
      </c>
      <c r="C90" s="6" t="n"/>
      <c r="D90" s="6" t="inlineStr">
        <is>
          <t>kg</t>
        </is>
      </c>
      <c r="E90" s="10" t="n"/>
      <c r="F90" s="6">
        <f>IF($E90="","",IF(EDATE(サマリ!$B$2,1)&gt;$E90,"期限切れ",IF(EDATE(サマリ!$B$2,2)&gt;$E90,"来月期限",IF(EDATE(サマリ!$B$2,3)&gt;$E90,"再来月期限",""))))</f>
        <v/>
      </c>
      <c r="G90" s="6" t="n"/>
      <c r="H90" s="6" t="n"/>
      <c r="I90" s="10" t="n"/>
      <c r="J90" s="6" t="n"/>
      <c r="K90" s="6" t="n"/>
    </row>
  </sheetData>
  <conditionalFormatting sqref="A4:K90">
    <cfRule type="expression" priority="1" dxfId="0">
      <formula>$F4="期限切れ"</formula>
    </cfRule>
    <cfRule type="expression" priority="2" dxfId="1">
      <formula>$F4="来月期限"</formula>
    </cfRule>
  </conditionalFormatting>
  <conditionalFormatting sqref="C4:C90">
    <cfRule type="expression" priority="3" dxfId="2">
      <formula>ISBLANK($C4)</formula>
    </cfRule>
  </conditionalFormatting>
  <dataValidations count="1">
    <dataValidation sqref="J4:J90" showDropDown="0" showInputMessage="0" showErrorMessage="0" allowBlank="1" type="list">
      <formula1>"1回目完了,ダブルチェック完了"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9" customWidth="1" min="4" max="4"/>
    <col width="9" customWidth="1" min="5" max="5"/>
    <col width="14" customWidth="1" min="6" max="6"/>
    <col width="14" customWidth="1" min="7" max="7"/>
  </cols>
  <sheetData>
    <row r="1">
      <c r="A1" s="1" t="inlineStr">
        <is>
          <t>実地棚卸表（フィルター）</t>
        </is>
      </c>
      <c r="D1" s="9">
        <f>"棚卸し月: "&amp;TEXT(サマリ!$B$2,"yyyy年m月")</f>
        <v/>
      </c>
    </row>
    <row r="2">
      <c r="A2" s="4" t="inlineStr">
        <is>
          <t>①箱・本それぞれの数を記入（無ければ0） ②行の追加・削除・並び替えはしない</t>
        </is>
      </c>
    </row>
    <row r="3">
      <c r="A3" s="5" t="inlineStr">
        <is>
          <t>原料コード</t>
        </is>
      </c>
      <c r="B3" s="5" t="inlineStr">
        <is>
          <t>品名</t>
        </is>
      </c>
      <c r="C3" s="5" t="inlineStr">
        <is>
          <t>型番</t>
        </is>
      </c>
      <c r="D3" s="5" t="inlineStr">
        <is>
          <t>数量(箱)</t>
        </is>
      </c>
      <c r="E3" s="5" t="inlineStr">
        <is>
          <t>数量(本)</t>
        </is>
      </c>
      <c r="F3" s="5" t="inlineStr">
        <is>
          <t>チェック</t>
        </is>
      </c>
      <c r="G3" s="5" t="inlineStr">
        <is>
          <t>備考</t>
        </is>
      </c>
    </row>
    <row r="4">
      <c r="A4" s="6" t="inlineStr"/>
      <c r="B4" s="6" t="inlineStr">
        <is>
          <t>天然水ﾌｨﾙﾀｰ 5μ （ロキテクノ）</t>
        </is>
      </c>
      <c r="C4" s="6" t="inlineStr">
        <is>
          <t>E1P050-30S7</t>
        </is>
      </c>
      <c r="D4" s="6" t="n"/>
      <c r="E4" s="6" t="n"/>
      <c r="F4" s="6" t="n"/>
      <c r="G4" s="6" t="n"/>
    </row>
    <row r="5">
      <c r="A5" s="6" t="inlineStr"/>
      <c r="B5" s="6" t="inlineStr">
        <is>
          <t>天然水ﾌｨﾙﾀｰ 1μ （ロキテクノ）</t>
        </is>
      </c>
      <c r="C5" s="6" t="inlineStr">
        <is>
          <t>E1P010-30S7</t>
        </is>
      </c>
      <c r="D5" s="6" t="n"/>
      <c r="E5" s="6" t="n"/>
      <c r="F5" s="6" t="n"/>
      <c r="G5" s="6" t="n"/>
    </row>
    <row r="6">
      <c r="A6" s="6" t="inlineStr"/>
      <c r="B6" s="6" t="inlineStr">
        <is>
          <t>天然水ﾌｨﾙﾀｰ 0.45μ （ポール）</t>
        </is>
      </c>
      <c r="C6" s="6" t="inlineStr">
        <is>
          <t>WFN0,45-30US-M7 314/12</t>
        </is>
      </c>
      <c r="D6" s="6" t="n"/>
      <c r="E6" s="6" t="n"/>
      <c r="F6" s="6" t="n"/>
      <c r="G6" s="6" t="n"/>
    </row>
    <row r="7">
      <c r="A7" s="6" t="inlineStr"/>
      <c r="B7" s="6" t="inlineStr">
        <is>
          <t>天然水ﾌｨﾙﾀｰ 0.2μ （ポール）</t>
        </is>
      </c>
      <c r="C7" s="6" t="inlineStr">
        <is>
          <t>AB3FFN7WH4/12</t>
        </is>
      </c>
      <c r="D7" s="6" t="n"/>
      <c r="E7" s="6" t="n"/>
      <c r="F7" s="6" t="n"/>
      <c r="G7" s="6" t="n"/>
    </row>
    <row r="8">
      <c r="A8" s="6" t="inlineStr"/>
      <c r="B8" s="6" t="inlineStr">
        <is>
          <t>天然水ﾌｨﾙﾀｰ 10μ</t>
        </is>
      </c>
      <c r="C8" s="6" t="inlineStr">
        <is>
          <t>/12</t>
        </is>
      </c>
      <c r="D8" s="6" t="n"/>
      <c r="E8" s="6" t="n"/>
      <c r="F8" s="6" t="n"/>
      <c r="G8" s="6" t="n"/>
    </row>
    <row r="9">
      <c r="A9" s="6" t="inlineStr"/>
      <c r="B9" s="6" t="inlineStr">
        <is>
          <t>天然水ﾌｨﾙﾀｰ 3μ</t>
        </is>
      </c>
      <c r="C9" s="6" t="inlineStr">
        <is>
          <t>NXA3-30U-M7S/12</t>
        </is>
      </c>
      <c r="D9" s="6" t="n"/>
      <c r="E9" s="6" t="n"/>
      <c r="F9" s="6" t="n"/>
      <c r="G9" s="6" t="n"/>
    </row>
    <row r="10">
      <c r="A10" s="6" t="inlineStr"/>
      <c r="B10" s="6" t="inlineStr">
        <is>
          <t>ｲｰﾄﾝﾌｨﾙﾀｰ</t>
        </is>
      </c>
      <c r="C10" s="6" t="inlineStr"/>
      <c r="D10" s="6" t="n"/>
      <c r="E10" s="6" t="n"/>
      <c r="F10" s="6" t="n"/>
      <c r="G10" s="6" t="n"/>
    </row>
    <row r="11">
      <c r="A11" s="6" t="inlineStr"/>
      <c r="B11" s="6" t="inlineStr">
        <is>
          <t>帝人ﾌｨﾙﾀｰ 5μ （ﾃｽﾄ品）</t>
        </is>
      </c>
      <c r="C11" s="6" t="inlineStr"/>
      <c r="D11" s="6" t="n"/>
      <c r="E11" s="6" t="n"/>
      <c r="F11" s="6" t="n"/>
      <c r="G11" s="6" t="n"/>
    </row>
    <row r="12">
      <c r="A12" s="6" t="inlineStr"/>
      <c r="B12" s="6" t="inlineStr">
        <is>
          <t>帝人ﾌｨﾙﾀｰ 1μ （ﾃｽﾄ品）</t>
        </is>
      </c>
      <c r="C12" s="6" t="inlineStr"/>
      <c r="D12" s="6" t="n"/>
      <c r="E12" s="6" t="n"/>
      <c r="F12" s="6" t="n"/>
      <c r="G12" s="6" t="n"/>
    </row>
    <row r="13">
      <c r="A13" s="6" t="inlineStr"/>
      <c r="B13" s="6" t="inlineStr">
        <is>
          <t>３M 10μ 126A （R缶）</t>
        </is>
      </c>
      <c r="C13" s="6" t="inlineStr">
        <is>
          <t>163</t>
        </is>
      </c>
      <c r="D13" s="6" t="n"/>
      <c r="E13" s="6" t="n"/>
      <c r="F13" s="6" t="n"/>
      <c r="G13" s="6" t="n"/>
    </row>
    <row r="14">
      <c r="A14" s="6" t="inlineStr"/>
      <c r="B14" s="6" t="inlineStr">
        <is>
          <t>３M 10μ 527A （PET）</t>
        </is>
      </c>
      <c r="C14" s="6" t="inlineStr">
        <is>
          <t>177</t>
        </is>
      </c>
      <c r="D14" s="6" t="n"/>
      <c r="E14" s="6" t="n"/>
      <c r="F14" s="6" t="n"/>
      <c r="G14" s="6" t="n"/>
    </row>
    <row r="15">
      <c r="A15" s="6" t="inlineStr"/>
      <c r="B15" s="6" t="inlineStr">
        <is>
          <t>３M ５μ 525A （PET)</t>
        </is>
      </c>
      <c r="C15" s="6" t="inlineStr">
        <is>
          <t>48</t>
        </is>
      </c>
      <c r="D15" s="6" t="n"/>
      <c r="E15" s="6" t="n"/>
      <c r="F15" s="6" t="n"/>
      <c r="G15" s="6" t="n"/>
    </row>
    <row r="16">
      <c r="A16" s="6" t="inlineStr"/>
      <c r="B16" s="6" t="inlineStr">
        <is>
          <t>天然水ﾌｨﾙﾀｰ 1.5μ （ポール）</t>
        </is>
      </c>
      <c r="C16" s="6" t="inlineStr"/>
      <c r="D16" s="6" t="n"/>
      <c r="E16" s="6" t="n"/>
      <c r="F16" s="6" t="n"/>
      <c r="G16" s="6" t="n"/>
    </row>
    <row r="17">
      <c r="A17" s="6" t="inlineStr"/>
      <c r="B17" s="6" t="inlineStr">
        <is>
          <t>帝人ﾌｨﾙﾀｰ 5μ DPE05073S</t>
        </is>
      </c>
      <c r="C17" s="6" t="inlineStr"/>
      <c r="D17" s="6" t="n"/>
      <c r="E17" s="6" t="n"/>
      <c r="F17" s="6" t="n"/>
      <c r="G17" s="6" t="n"/>
    </row>
  </sheetData>
  <conditionalFormatting sqref="D4:E17">
    <cfRule type="expression" priority="1" dxfId="2">
      <formula>AND(ISBLANK($D4),ISBLANK($E4))</formula>
    </cfRule>
  </conditionalFormatting>
  <dataValidations count="1">
    <dataValidation sqref="F4:F17" showDropDown="0" showInputMessage="0" showErrorMessage="0" allowBlank="1" type="list">
      <formula1>"1回目完了,ダブルチェック完了"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2026-07-14T23:12:47Z</dcterms:created>
  <dcterms:modified xsi:type="dcterms:W3CDTF">2026-07-14T23:12:47Z</dcterms:modified>
</cp:coreProperties>
</file>